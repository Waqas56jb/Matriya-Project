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escocolorss.sharepoint.com/frescocolors/Shared Documents/מעבדה/רחל LAB/פרויקטים/intumescent/"/>
    </mc:Choice>
  </mc:AlternateContent>
  <xr:revisionPtr revIDLastSave="0" documentId="8_{D9AB6CC4-CB6F-4625-BC6F-DDD3F787C928}" xr6:coauthVersionLast="47" xr6:coauthVersionMax="47" xr10:uidLastSave="{00000000-0000-0000-0000-000000000000}"/>
  <bookViews>
    <workbookView xWindow="-108" yWindow="-108" windowWidth="23256" windowHeight="12576" activeTab="1" xr2:uid="{3C9DF3A9-5166-4C9A-9A74-0F8A65FFB355}"/>
  </bookViews>
  <sheets>
    <sheet name="פורמולציות" sheetId="1" r:id="rId1"/>
    <sheet name="פורמולציות -סיכום" sheetId="3" r:id="rId2"/>
    <sheet name="פורמולציות נוגדי קצף" sheetId="4" r:id="rId3"/>
    <sheet name="בדיקות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128" i="3" l="1"/>
  <c r="C149" i="3"/>
  <c r="L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AP9" i="3"/>
  <c r="AP127" i="3"/>
  <c r="D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AP126" i="3"/>
  <c r="E1579" i="1"/>
  <c r="AP125" i="3"/>
  <c r="E1573" i="1"/>
  <c r="E1574" i="1"/>
  <c r="E1575" i="1"/>
  <c r="E1576" i="1"/>
  <c r="E1577" i="1"/>
  <c r="E1578" i="1"/>
  <c r="E1580" i="1"/>
  <c r="E1581" i="1"/>
  <c r="E1582" i="1"/>
  <c r="E1583" i="1"/>
  <c r="E1584" i="1"/>
  <c r="E1585" i="1"/>
  <c r="E1586" i="1"/>
  <c r="E1587" i="1"/>
  <c r="E1588" i="1"/>
  <c r="E1572" i="1"/>
  <c r="D1589" i="1"/>
  <c r="H33" i="1" l="1"/>
  <c r="G25" i="1" s="1"/>
  <c r="H13" i="1"/>
  <c r="G6" i="1" s="1"/>
  <c r="G32" i="1" l="1"/>
  <c r="G31" i="1"/>
  <c r="G29" i="1"/>
  <c r="G24" i="1"/>
  <c r="G28" i="1"/>
  <c r="G9" i="1"/>
  <c r="G8" i="1"/>
  <c r="G27" i="1"/>
  <c r="G5" i="1"/>
  <c r="G12" i="1"/>
  <c r="G11" i="1"/>
  <c r="G7" i="1"/>
  <c r="G4" i="1"/>
  <c r="G10" i="1"/>
  <c r="G30" i="1"/>
  <c r="G26" i="1"/>
  <c r="G33" i="1" l="1"/>
  <c r="G13" i="1"/>
  <c r="O9" i="4" l="1"/>
  <c r="O7" i="4"/>
  <c r="O8" i="4"/>
  <c r="O4" i="4"/>
  <c r="O5" i="4"/>
  <c r="O6" i="4"/>
  <c r="O3" i="4"/>
  <c r="AP124" i="3"/>
  <c r="AP119" i="3"/>
  <c r="AP117" i="3"/>
  <c r="AP118" i="3"/>
  <c r="AP120" i="3"/>
  <c r="AP121" i="3"/>
  <c r="AP122" i="3"/>
  <c r="AP123" i="3"/>
  <c r="AP110" i="3"/>
  <c r="AP111" i="3"/>
  <c r="AP112" i="3"/>
  <c r="AP113" i="3"/>
  <c r="AP114" i="3"/>
  <c r="AP115" i="3"/>
  <c r="AP116" i="3"/>
  <c r="AP105" i="3"/>
  <c r="AP106" i="3"/>
  <c r="AP107" i="3"/>
  <c r="AP108" i="3"/>
  <c r="AP109" i="3"/>
  <c r="AP96" i="3"/>
  <c r="AP97" i="3"/>
  <c r="AP98" i="3"/>
  <c r="AP99" i="3"/>
  <c r="AP100" i="3"/>
  <c r="AP101" i="3"/>
  <c r="AP102" i="3"/>
  <c r="AP103" i="3"/>
  <c r="AP104" i="3"/>
  <c r="AP92" i="3"/>
  <c r="AP93" i="3"/>
  <c r="AP94" i="3"/>
  <c r="AP95" i="3"/>
  <c r="AP86" i="3"/>
  <c r="AP87" i="3"/>
  <c r="AP88" i="3"/>
  <c r="AP89" i="3"/>
  <c r="AP90" i="3"/>
  <c r="AP91" i="3"/>
  <c r="AP83" i="3"/>
  <c r="AP84" i="3"/>
  <c r="AP85" i="3"/>
  <c r="AP76" i="3"/>
  <c r="AP77" i="3"/>
  <c r="AP78" i="3"/>
  <c r="AP79" i="3"/>
  <c r="AP80" i="3"/>
  <c r="AP81" i="3"/>
  <c r="AP82" i="3"/>
  <c r="AP72" i="3"/>
  <c r="AP73" i="3"/>
  <c r="AP74" i="3"/>
  <c r="AP75" i="3"/>
  <c r="AP69" i="3"/>
  <c r="AP70" i="3"/>
  <c r="AP71" i="3"/>
  <c r="AP63" i="3"/>
  <c r="AP64" i="3"/>
  <c r="AP65" i="3"/>
  <c r="AP66" i="3"/>
  <c r="AP67" i="3"/>
  <c r="AP68" i="3"/>
  <c r="AP57" i="3"/>
  <c r="AP58" i="3"/>
  <c r="AP59" i="3"/>
  <c r="AP60" i="3"/>
  <c r="AP61" i="3"/>
  <c r="AP62" i="3"/>
  <c r="AP50" i="3"/>
  <c r="AP51" i="3"/>
  <c r="AP52" i="3"/>
  <c r="AP53" i="3"/>
  <c r="AP54" i="3"/>
  <c r="AP55" i="3"/>
  <c r="AP56" i="3"/>
  <c r="AP45" i="3"/>
  <c r="AP46" i="3"/>
  <c r="AP47" i="3"/>
  <c r="AP48" i="3"/>
  <c r="AP49" i="3"/>
  <c r="AP38" i="3"/>
  <c r="AP39" i="3"/>
  <c r="AP40" i="3"/>
  <c r="AP41" i="3"/>
  <c r="AP42" i="3"/>
  <c r="AP43" i="3"/>
  <c r="AP44" i="3"/>
  <c r="AP31" i="3"/>
  <c r="AP32" i="3"/>
  <c r="AP33" i="3"/>
  <c r="AP34" i="3"/>
  <c r="AP35" i="3"/>
  <c r="AP36" i="3"/>
  <c r="AP37" i="3"/>
  <c r="AP5" i="3"/>
  <c r="AP6" i="3"/>
  <c r="AP7" i="3"/>
  <c r="AP8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4" i="3"/>
  <c r="C1563" i="1"/>
  <c r="D1562" i="1"/>
  <c r="E1561" i="1"/>
  <c r="L1559" i="1"/>
  <c r="E1560" i="1"/>
  <c r="M1558" i="1"/>
  <c r="E1559" i="1"/>
  <c r="M1557" i="1"/>
  <c r="E1558" i="1"/>
  <c r="M1556" i="1"/>
  <c r="E1557" i="1"/>
  <c r="M1555" i="1"/>
  <c r="E1556" i="1"/>
  <c r="M1554" i="1"/>
  <c r="E1555" i="1"/>
  <c r="M1553" i="1"/>
  <c r="E1554" i="1"/>
  <c r="M1552" i="1"/>
  <c r="E1553" i="1"/>
  <c r="M1551" i="1"/>
  <c r="E1552" i="1"/>
  <c r="M1550" i="1"/>
  <c r="E1551" i="1"/>
  <c r="M1549" i="1"/>
  <c r="E1550" i="1"/>
  <c r="M1548" i="1"/>
  <c r="E1549" i="1"/>
  <c r="M1547" i="1"/>
  <c r="E1548" i="1"/>
  <c r="M1546" i="1"/>
  <c r="E1547" i="1"/>
  <c r="M1545" i="1"/>
  <c r="E1546" i="1"/>
  <c r="M1544" i="1"/>
  <c r="E1545" i="1"/>
  <c r="E1544" i="1"/>
  <c r="K1538" i="1"/>
  <c r="L1537" i="1"/>
  <c r="D1537" i="1"/>
  <c r="M1536" i="1"/>
  <c r="E1536" i="1"/>
  <c r="M1535" i="1"/>
  <c r="E1535" i="1"/>
  <c r="M1534" i="1"/>
  <c r="E1534" i="1"/>
  <c r="M1533" i="1"/>
  <c r="E1533" i="1"/>
  <c r="M1532" i="1"/>
  <c r="E1532" i="1"/>
  <c r="M1531" i="1"/>
  <c r="E1531" i="1"/>
  <c r="M1530" i="1"/>
  <c r="E1530" i="1"/>
  <c r="M1529" i="1"/>
  <c r="E1529" i="1"/>
  <c r="M1528" i="1"/>
  <c r="E1528" i="1"/>
  <c r="M1527" i="1"/>
  <c r="E1527" i="1"/>
  <c r="M1526" i="1"/>
  <c r="E1526" i="1"/>
  <c r="M1525" i="1"/>
  <c r="E1525" i="1"/>
  <c r="M1524" i="1"/>
  <c r="E1524" i="1"/>
  <c r="M1523" i="1"/>
  <c r="E1523" i="1"/>
  <c r="M1522" i="1"/>
  <c r="E1522" i="1"/>
  <c r="M1521" i="1"/>
  <c r="E1521" i="1"/>
  <c r="M1520" i="1"/>
  <c r="E1520" i="1"/>
  <c r="L1511" i="1"/>
  <c r="C1512" i="1"/>
  <c r="M1510" i="1"/>
  <c r="D1511" i="1"/>
  <c r="M1509" i="1"/>
  <c r="E1510" i="1"/>
  <c r="M1508" i="1"/>
  <c r="E1509" i="1"/>
  <c r="M1507" i="1"/>
  <c r="E1508" i="1"/>
  <c r="M1506" i="1"/>
  <c r="E1507" i="1"/>
  <c r="M1505" i="1"/>
  <c r="E1506" i="1"/>
  <c r="M1504" i="1"/>
  <c r="E1505" i="1"/>
  <c r="M1503" i="1"/>
  <c r="E1504" i="1"/>
  <c r="M1502" i="1"/>
  <c r="E1503" i="1"/>
  <c r="M1501" i="1"/>
  <c r="E1502" i="1"/>
  <c r="M1500" i="1"/>
  <c r="E1501" i="1"/>
  <c r="M1499" i="1"/>
  <c r="E1500" i="1"/>
  <c r="M1498" i="1"/>
  <c r="E1499" i="1"/>
  <c r="M1497" i="1"/>
  <c r="E1498" i="1"/>
  <c r="M1496" i="1"/>
  <c r="E1497" i="1"/>
  <c r="M1495" i="1"/>
  <c r="E1496" i="1"/>
  <c r="M1494" i="1"/>
  <c r="E1495" i="1"/>
  <c r="E1494" i="1"/>
  <c r="C1485" i="1"/>
  <c r="D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K1462" i="1"/>
  <c r="L1461" i="1"/>
  <c r="C1458" i="1"/>
  <c r="M1460" i="1"/>
  <c r="D1457" i="1"/>
  <c r="M1459" i="1"/>
  <c r="E1456" i="1"/>
  <c r="M1458" i="1"/>
  <c r="E1455" i="1"/>
  <c r="M1457" i="1"/>
  <c r="E1454" i="1"/>
  <c r="M1456" i="1"/>
  <c r="E1453" i="1"/>
  <c r="M1455" i="1"/>
  <c r="E1452" i="1"/>
  <c r="M1454" i="1"/>
  <c r="E1451" i="1"/>
  <c r="M1453" i="1"/>
  <c r="E1450" i="1"/>
  <c r="M1452" i="1"/>
  <c r="E1449" i="1"/>
  <c r="M1451" i="1"/>
  <c r="E1448" i="1"/>
  <c r="M1450" i="1"/>
  <c r="E1447" i="1"/>
  <c r="M1449" i="1"/>
  <c r="E1446" i="1"/>
  <c r="M1448" i="1"/>
  <c r="E1445" i="1"/>
  <c r="M1447" i="1"/>
  <c r="E1444" i="1"/>
  <c r="M1446" i="1"/>
  <c r="E1443" i="1"/>
  <c r="M1445" i="1"/>
  <c r="E1442" i="1"/>
  <c r="M1444" i="1"/>
  <c r="E1441" i="1"/>
  <c r="M1443" i="1"/>
  <c r="E1440" i="1"/>
  <c r="M1442" i="1"/>
  <c r="E1439" i="1"/>
  <c r="E1438" i="1"/>
  <c r="K1434" i="1"/>
  <c r="C1431" i="1"/>
  <c r="L1433" i="1"/>
  <c r="D1430" i="1"/>
  <c r="M1432" i="1"/>
  <c r="E1429" i="1"/>
  <c r="M1431" i="1"/>
  <c r="E1428" i="1"/>
  <c r="M1430" i="1"/>
  <c r="E1427" i="1"/>
  <c r="M1429" i="1"/>
  <c r="E1426" i="1"/>
  <c r="M1428" i="1"/>
  <c r="E1425" i="1"/>
  <c r="M1427" i="1"/>
  <c r="E1424" i="1"/>
  <c r="M1426" i="1"/>
  <c r="E1423" i="1"/>
  <c r="M1425" i="1"/>
  <c r="E1422" i="1"/>
  <c r="M1424" i="1"/>
  <c r="E1421" i="1"/>
  <c r="M1423" i="1"/>
  <c r="E1420" i="1"/>
  <c r="M1422" i="1"/>
  <c r="E1419" i="1"/>
  <c r="M1421" i="1"/>
  <c r="E1418" i="1"/>
  <c r="M1420" i="1"/>
  <c r="E1417" i="1"/>
  <c r="M1419" i="1"/>
  <c r="E1416" i="1"/>
  <c r="M1418" i="1"/>
  <c r="E1415" i="1"/>
  <c r="M1417" i="1"/>
  <c r="E1414" i="1"/>
  <c r="M1416" i="1"/>
  <c r="E1413" i="1"/>
  <c r="M1415" i="1"/>
  <c r="E1412" i="1"/>
  <c r="K1406" i="1"/>
  <c r="C1403" i="1"/>
  <c r="L1405" i="1"/>
  <c r="D1402" i="1"/>
  <c r="M1404" i="1"/>
  <c r="E1401" i="1"/>
  <c r="M1403" i="1"/>
  <c r="E1400" i="1"/>
  <c r="M1402" i="1"/>
  <c r="E1399" i="1"/>
  <c r="M1401" i="1"/>
  <c r="E1398" i="1"/>
  <c r="M1400" i="1"/>
  <c r="E1397" i="1"/>
  <c r="M1399" i="1"/>
  <c r="E1396" i="1"/>
  <c r="M1398" i="1"/>
  <c r="E1395" i="1"/>
  <c r="M1397" i="1"/>
  <c r="E1394" i="1"/>
  <c r="M1396" i="1"/>
  <c r="E1393" i="1"/>
  <c r="M1395" i="1"/>
  <c r="E1392" i="1"/>
  <c r="M1394" i="1"/>
  <c r="E1391" i="1"/>
  <c r="M1393" i="1"/>
  <c r="E1390" i="1"/>
  <c r="M1392" i="1"/>
  <c r="E1389" i="1"/>
  <c r="M1391" i="1"/>
  <c r="E1388" i="1"/>
  <c r="M1390" i="1"/>
  <c r="E1387" i="1"/>
  <c r="M1389" i="1"/>
  <c r="E1386" i="1"/>
  <c r="M1388" i="1"/>
  <c r="E1385" i="1"/>
  <c r="M1387" i="1"/>
  <c r="E1384" i="1"/>
  <c r="K1378" i="1"/>
  <c r="C1375" i="1"/>
  <c r="L1377" i="1"/>
  <c r="D1374" i="1"/>
  <c r="M1376" i="1"/>
  <c r="E1373" i="1"/>
  <c r="M1375" i="1"/>
  <c r="E1372" i="1"/>
  <c r="M1374" i="1"/>
  <c r="E1371" i="1"/>
  <c r="M1373" i="1"/>
  <c r="E1370" i="1"/>
  <c r="M1372" i="1"/>
  <c r="E1369" i="1"/>
  <c r="M1371" i="1"/>
  <c r="E1368" i="1"/>
  <c r="M1370" i="1"/>
  <c r="E1367" i="1"/>
  <c r="M1369" i="1"/>
  <c r="E1366" i="1"/>
  <c r="M1368" i="1"/>
  <c r="E1365" i="1"/>
  <c r="M1367" i="1"/>
  <c r="E1364" i="1"/>
  <c r="M1366" i="1"/>
  <c r="E1363" i="1"/>
  <c r="M1365" i="1"/>
  <c r="E1362" i="1"/>
  <c r="M1364" i="1"/>
  <c r="E1361" i="1"/>
  <c r="M1363" i="1"/>
  <c r="E1360" i="1"/>
  <c r="M1362" i="1"/>
  <c r="E1359" i="1"/>
  <c r="M1361" i="1"/>
  <c r="E1358" i="1"/>
  <c r="M1360" i="1"/>
  <c r="E1357" i="1"/>
  <c r="M1359" i="1"/>
  <c r="E1356" i="1"/>
  <c r="C1347" i="1"/>
  <c r="K1349" i="1"/>
  <c r="D1346" i="1"/>
  <c r="L1348" i="1"/>
  <c r="E1345" i="1"/>
  <c r="M1347" i="1"/>
  <c r="E1344" i="1"/>
  <c r="M1346" i="1"/>
  <c r="E1343" i="1"/>
  <c r="M1345" i="1"/>
  <c r="E1342" i="1"/>
  <c r="M1344" i="1"/>
  <c r="E1341" i="1"/>
  <c r="M1343" i="1"/>
  <c r="E1340" i="1"/>
  <c r="M1342" i="1"/>
  <c r="E1339" i="1"/>
  <c r="M1341" i="1"/>
  <c r="E1338" i="1"/>
  <c r="M1340" i="1"/>
  <c r="E1337" i="1"/>
  <c r="M1339" i="1"/>
  <c r="E1336" i="1"/>
  <c r="M1338" i="1"/>
  <c r="E1335" i="1"/>
  <c r="M1337" i="1"/>
  <c r="E1334" i="1"/>
  <c r="M1336" i="1"/>
  <c r="E1333" i="1"/>
  <c r="M1335" i="1"/>
  <c r="E1332" i="1"/>
  <c r="M1334" i="1"/>
  <c r="E1331" i="1"/>
  <c r="M1333" i="1"/>
  <c r="E1330" i="1"/>
  <c r="M1332" i="1"/>
  <c r="E1329" i="1"/>
  <c r="M1331" i="1"/>
  <c r="E1328" i="1"/>
  <c r="M1330" i="1"/>
  <c r="K1323" i="1"/>
  <c r="C1320" i="1"/>
  <c r="L1322" i="1"/>
  <c r="D1319" i="1"/>
  <c r="M1321" i="1"/>
  <c r="E1318" i="1"/>
  <c r="M1320" i="1"/>
  <c r="E1317" i="1"/>
  <c r="M1319" i="1"/>
  <c r="E1316" i="1"/>
  <c r="M1318" i="1"/>
  <c r="E1315" i="1"/>
  <c r="M1317" i="1"/>
  <c r="E1314" i="1"/>
  <c r="M1316" i="1"/>
  <c r="E1313" i="1"/>
  <c r="M1315" i="1"/>
  <c r="E1312" i="1"/>
  <c r="M1314" i="1"/>
  <c r="E1311" i="1"/>
  <c r="M1313" i="1"/>
  <c r="E1310" i="1"/>
  <c r="M1312" i="1"/>
  <c r="E1309" i="1"/>
  <c r="M1311" i="1"/>
  <c r="E1308" i="1"/>
  <c r="M1310" i="1"/>
  <c r="E1307" i="1"/>
  <c r="M1309" i="1"/>
  <c r="E1306" i="1"/>
  <c r="M1308" i="1"/>
  <c r="E1305" i="1"/>
  <c r="M1307" i="1"/>
  <c r="E1304" i="1"/>
  <c r="M1306" i="1"/>
  <c r="E1303" i="1"/>
  <c r="M1305" i="1"/>
  <c r="E1302" i="1"/>
  <c r="M1304" i="1"/>
  <c r="E1301" i="1"/>
  <c r="M1303" i="1"/>
  <c r="E1300" i="1"/>
  <c r="E1320" i="1" s="1"/>
  <c r="K1295" i="1"/>
  <c r="C1292" i="1"/>
  <c r="L1294" i="1"/>
  <c r="D1291" i="1"/>
  <c r="M1293" i="1"/>
  <c r="E1290" i="1"/>
  <c r="M1292" i="1"/>
  <c r="E1289" i="1"/>
  <c r="M1291" i="1"/>
  <c r="E1288" i="1"/>
  <c r="M1290" i="1"/>
  <c r="E1287" i="1"/>
  <c r="M1289" i="1"/>
  <c r="E1286" i="1"/>
  <c r="M1288" i="1"/>
  <c r="E1285" i="1"/>
  <c r="M1287" i="1"/>
  <c r="E1284" i="1"/>
  <c r="M1286" i="1"/>
  <c r="E1283" i="1"/>
  <c r="M1285" i="1"/>
  <c r="E1282" i="1"/>
  <c r="M1284" i="1"/>
  <c r="E1281" i="1"/>
  <c r="M1283" i="1"/>
  <c r="E1280" i="1"/>
  <c r="M1282" i="1"/>
  <c r="E1279" i="1"/>
  <c r="M1281" i="1"/>
  <c r="E1278" i="1"/>
  <c r="M1280" i="1"/>
  <c r="E1277" i="1"/>
  <c r="M1279" i="1"/>
  <c r="E1276" i="1"/>
  <c r="M1278" i="1"/>
  <c r="E1275" i="1"/>
  <c r="M1277" i="1"/>
  <c r="E1274" i="1"/>
  <c r="M1276" i="1"/>
  <c r="E1273" i="1"/>
  <c r="E1292" i="1" s="1"/>
  <c r="K1269" i="1"/>
  <c r="C1266" i="1"/>
  <c r="L1268" i="1"/>
  <c r="D1265" i="1"/>
  <c r="M1267" i="1"/>
  <c r="E1264" i="1"/>
  <c r="M1266" i="1"/>
  <c r="E1263" i="1"/>
  <c r="M1265" i="1"/>
  <c r="E1262" i="1"/>
  <c r="M1264" i="1"/>
  <c r="E1261" i="1"/>
  <c r="M1263" i="1"/>
  <c r="E1260" i="1"/>
  <c r="M1262" i="1"/>
  <c r="E1259" i="1"/>
  <c r="M1261" i="1"/>
  <c r="E1258" i="1"/>
  <c r="M1260" i="1"/>
  <c r="E1257" i="1"/>
  <c r="M1259" i="1"/>
  <c r="E1256" i="1"/>
  <c r="M1258" i="1"/>
  <c r="E1255" i="1"/>
  <c r="M1257" i="1"/>
  <c r="E1254" i="1"/>
  <c r="M1256" i="1"/>
  <c r="E1253" i="1"/>
  <c r="M1255" i="1"/>
  <c r="E1252" i="1"/>
  <c r="M1254" i="1"/>
  <c r="E1251" i="1"/>
  <c r="M1253" i="1"/>
  <c r="E1250" i="1"/>
  <c r="M1252" i="1"/>
  <c r="E1249" i="1"/>
  <c r="M1251" i="1"/>
  <c r="E1248" i="1"/>
  <c r="M1250" i="1"/>
  <c r="E1247" i="1"/>
  <c r="E1266" i="1" s="1"/>
  <c r="K1242" i="1"/>
  <c r="C1239" i="1"/>
  <c r="L1241" i="1"/>
  <c r="D1238" i="1"/>
  <c r="M1240" i="1"/>
  <c r="E1237" i="1"/>
  <c r="M1239" i="1"/>
  <c r="E1236" i="1"/>
  <c r="M1238" i="1"/>
  <c r="E1235" i="1"/>
  <c r="M1237" i="1"/>
  <c r="E1234" i="1"/>
  <c r="M1236" i="1"/>
  <c r="E1233" i="1"/>
  <c r="M1235" i="1"/>
  <c r="E1232" i="1"/>
  <c r="M1234" i="1"/>
  <c r="E1231" i="1"/>
  <c r="M1233" i="1"/>
  <c r="E1230" i="1"/>
  <c r="M1232" i="1"/>
  <c r="E1229" i="1"/>
  <c r="M1231" i="1"/>
  <c r="E1228" i="1"/>
  <c r="M1230" i="1"/>
  <c r="E1227" i="1"/>
  <c r="M1229" i="1"/>
  <c r="E1226" i="1"/>
  <c r="M1228" i="1"/>
  <c r="E1225" i="1"/>
  <c r="M1227" i="1"/>
  <c r="E1224" i="1"/>
  <c r="M1226" i="1"/>
  <c r="E1223" i="1"/>
  <c r="M1225" i="1"/>
  <c r="E1222" i="1"/>
  <c r="M1224" i="1"/>
  <c r="E1221" i="1"/>
  <c r="M1223" i="1"/>
  <c r="E1220" i="1"/>
  <c r="E1239" i="1" s="1"/>
  <c r="K1216" i="1"/>
  <c r="L1215" i="1"/>
  <c r="D1212" i="1"/>
  <c r="M1214" i="1"/>
  <c r="E1211" i="1"/>
  <c r="M1213" i="1"/>
  <c r="E1210" i="1"/>
  <c r="M1212" i="1"/>
  <c r="E1209" i="1"/>
  <c r="M1211" i="1"/>
  <c r="E1208" i="1"/>
  <c r="M1210" i="1"/>
  <c r="E1207" i="1"/>
  <c r="M1209" i="1"/>
  <c r="E1206" i="1"/>
  <c r="M1208" i="1"/>
  <c r="E1205" i="1"/>
  <c r="M1207" i="1"/>
  <c r="E1204" i="1"/>
  <c r="M1206" i="1"/>
  <c r="E1203" i="1"/>
  <c r="M1205" i="1"/>
  <c r="E1202" i="1"/>
  <c r="M1204" i="1"/>
  <c r="E1201" i="1"/>
  <c r="M1203" i="1"/>
  <c r="E1200" i="1"/>
  <c r="M1202" i="1"/>
  <c r="E1199" i="1"/>
  <c r="M1201" i="1"/>
  <c r="E1198" i="1"/>
  <c r="M1200" i="1"/>
  <c r="E1197" i="1"/>
  <c r="M1199" i="1"/>
  <c r="E1196" i="1"/>
  <c r="M1198" i="1"/>
  <c r="M1216" i="1" s="1"/>
  <c r="E1195" i="1"/>
  <c r="C1187" i="1"/>
  <c r="L1189" i="1"/>
  <c r="D1186" i="1"/>
  <c r="M1188" i="1"/>
  <c r="E1185" i="1"/>
  <c r="M1187" i="1"/>
  <c r="E1184" i="1"/>
  <c r="M1186" i="1"/>
  <c r="E1183" i="1"/>
  <c r="M1185" i="1"/>
  <c r="E1182" i="1"/>
  <c r="M1184" i="1"/>
  <c r="E1181" i="1"/>
  <c r="M1183" i="1"/>
  <c r="E1180" i="1"/>
  <c r="M1182" i="1"/>
  <c r="E1179" i="1"/>
  <c r="M1181" i="1"/>
  <c r="E1178" i="1"/>
  <c r="M1180" i="1"/>
  <c r="E1177" i="1"/>
  <c r="M1179" i="1"/>
  <c r="E1176" i="1"/>
  <c r="M1178" i="1"/>
  <c r="E1175" i="1"/>
  <c r="M1177" i="1"/>
  <c r="E1174" i="1"/>
  <c r="M1176" i="1"/>
  <c r="E1173" i="1"/>
  <c r="M1175" i="1"/>
  <c r="E1172" i="1"/>
  <c r="M1174" i="1"/>
  <c r="E1171" i="1"/>
  <c r="M1173" i="1"/>
  <c r="E1170" i="1"/>
  <c r="E1187" i="1" s="1"/>
  <c r="M1172" i="1"/>
  <c r="E1169" i="1"/>
  <c r="L1162" i="1"/>
  <c r="D1159" i="1"/>
  <c r="M1161" i="1"/>
  <c r="E1158" i="1"/>
  <c r="M1160" i="1"/>
  <c r="E1157" i="1"/>
  <c r="M1159" i="1"/>
  <c r="E1156" i="1"/>
  <c r="M1158" i="1"/>
  <c r="E1155" i="1"/>
  <c r="M1157" i="1"/>
  <c r="E1154" i="1"/>
  <c r="M1156" i="1"/>
  <c r="E1153" i="1"/>
  <c r="M1155" i="1"/>
  <c r="E1152" i="1"/>
  <c r="M1154" i="1"/>
  <c r="E1151" i="1"/>
  <c r="M1153" i="1"/>
  <c r="E1150" i="1"/>
  <c r="M1152" i="1"/>
  <c r="E1149" i="1"/>
  <c r="M1151" i="1"/>
  <c r="E1148" i="1"/>
  <c r="M1150" i="1"/>
  <c r="E1147" i="1"/>
  <c r="M1149" i="1"/>
  <c r="E1146" i="1"/>
  <c r="M1148" i="1"/>
  <c r="E1145" i="1"/>
  <c r="M1147" i="1"/>
  <c r="E1144" i="1"/>
  <c r="M1146" i="1"/>
  <c r="E1143" i="1"/>
  <c r="L1136" i="1"/>
  <c r="D1133" i="1"/>
  <c r="M1135" i="1"/>
  <c r="E1132" i="1"/>
  <c r="M1134" i="1"/>
  <c r="E1131" i="1"/>
  <c r="M1133" i="1"/>
  <c r="E1130" i="1"/>
  <c r="M1132" i="1"/>
  <c r="M1131" i="1"/>
  <c r="E1129" i="1"/>
  <c r="M1130" i="1"/>
  <c r="E1128" i="1"/>
  <c r="M1129" i="1"/>
  <c r="E1127" i="1"/>
  <c r="M1128" i="1"/>
  <c r="E1126" i="1"/>
  <c r="M1127" i="1"/>
  <c r="E1125" i="1"/>
  <c r="M1126" i="1"/>
  <c r="E1124" i="1"/>
  <c r="M1125" i="1"/>
  <c r="E1123" i="1"/>
  <c r="M1124" i="1"/>
  <c r="E1122" i="1"/>
  <c r="M1123" i="1"/>
  <c r="E1121" i="1"/>
  <c r="M1122" i="1"/>
  <c r="E1120" i="1"/>
  <c r="M1121" i="1"/>
  <c r="E1119" i="1"/>
  <c r="M1120" i="1"/>
  <c r="E1118" i="1"/>
  <c r="L1111" i="1"/>
  <c r="D1109" i="1"/>
  <c r="M1110" i="1"/>
  <c r="E1108" i="1"/>
  <c r="M1109" i="1"/>
  <c r="E1107" i="1"/>
  <c r="M1108" i="1"/>
  <c r="E1106" i="1"/>
  <c r="M1107" i="1"/>
  <c r="E1105" i="1"/>
  <c r="M1106" i="1"/>
  <c r="E1104" i="1"/>
  <c r="M1105" i="1"/>
  <c r="E1103" i="1"/>
  <c r="M1104" i="1"/>
  <c r="E1102" i="1"/>
  <c r="M1103" i="1"/>
  <c r="E1101" i="1"/>
  <c r="M1102" i="1"/>
  <c r="E1100" i="1"/>
  <c r="M1101" i="1"/>
  <c r="E1099" i="1"/>
  <c r="M1100" i="1"/>
  <c r="E1098" i="1"/>
  <c r="M1099" i="1"/>
  <c r="E1097" i="1"/>
  <c r="M1098" i="1"/>
  <c r="E1096" i="1"/>
  <c r="M1097" i="1"/>
  <c r="E1095" i="1"/>
  <c r="M1096" i="1"/>
  <c r="E1094" i="1"/>
  <c r="D1086" i="1"/>
  <c r="E1085" i="1"/>
  <c r="L1086" i="1"/>
  <c r="E1084" i="1"/>
  <c r="M1085" i="1"/>
  <c r="E1083" i="1"/>
  <c r="M1084" i="1"/>
  <c r="E1082" i="1"/>
  <c r="M1083" i="1"/>
  <c r="E1081" i="1"/>
  <c r="M1082" i="1"/>
  <c r="M1081" i="1"/>
  <c r="M1080" i="1"/>
  <c r="E1080" i="1"/>
  <c r="M1079" i="1"/>
  <c r="E1079" i="1"/>
  <c r="M1078" i="1"/>
  <c r="E1078" i="1"/>
  <c r="M1077" i="1"/>
  <c r="E1077" i="1"/>
  <c r="M1076" i="1"/>
  <c r="E1076" i="1"/>
  <c r="M1075" i="1"/>
  <c r="E1075" i="1"/>
  <c r="M1074" i="1"/>
  <c r="E1074" i="1"/>
  <c r="M1073" i="1"/>
  <c r="E1073" i="1"/>
  <c r="M1072" i="1"/>
  <c r="E1072" i="1"/>
  <c r="M1071" i="1"/>
  <c r="E1071" i="1"/>
  <c r="M1070" i="1"/>
  <c r="E1070" i="1"/>
  <c r="M1069" i="1"/>
  <c r="E1069" i="1"/>
  <c r="L1062" i="1"/>
  <c r="M1061" i="1"/>
  <c r="M1060" i="1"/>
  <c r="D1060" i="1"/>
  <c r="M1059" i="1"/>
  <c r="E1059" i="1"/>
  <c r="M1058" i="1"/>
  <c r="E1058" i="1"/>
  <c r="M1057" i="1"/>
  <c r="E1057" i="1"/>
  <c r="M1056" i="1"/>
  <c r="E1056" i="1"/>
  <c r="M1055" i="1"/>
  <c r="E1055" i="1"/>
  <c r="M1054" i="1"/>
  <c r="E1054" i="1"/>
  <c r="M1053" i="1"/>
  <c r="E1053" i="1"/>
  <c r="M1052" i="1"/>
  <c r="E1052" i="1"/>
  <c r="M1051" i="1"/>
  <c r="E1051" i="1"/>
  <c r="M1050" i="1"/>
  <c r="E1050" i="1"/>
  <c r="M1049" i="1"/>
  <c r="E1049" i="1"/>
  <c r="M1048" i="1"/>
  <c r="E1048" i="1"/>
  <c r="M1047" i="1"/>
  <c r="E1047" i="1"/>
  <c r="M1046" i="1"/>
  <c r="E1046" i="1"/>
  <c r="M1045" i="1"/>
  <c r="E1045" i="1"/>
  <c r="L1038" i="1"/>
  <c r="D1038" i="1"/>
  <c r="M1037" i="1"/>
  <c r="E1037" i="1"/>
  <c r="M1036" i="1"/>
  <c r="E1036" i="1"/>
  <c r="M1035" i="1"/>
  <c r="E1035" i="1"/>
  <c r="M1034" i="1"/>
  <c r="E1034" i="1"/>
  <c r="M1033" i="1"/>
  <c r="E1033" i="1"/>
  <c r="M1032" i="1"/>
  <c r="E1032" i="1"/>
  <c r="M1031" i="1"/>
  <c r="E1031" i="1"/>
  <c r="M1030" i="1"/>
  <c r="E1030" i="1"/>
  <c r="M1029" i="1"/>
  <c r="E1029" i="1"/>
  <c r="M1028" i="1"/>
  <c r="E1028" i="1"/>
  <c r="M1027" i="1"/>
  <c r="E1027" i="1"/>
  <c r="M1026" i="1"/>
  <c r="E1026" i="1"/>
  <c r="M1025" i="1"/>
  <c r="E1025" i="1"/>
  <c r="M1024" i="1"/>
  <c r="E1024" i="1"/>
  <c r="M1023" i="1"/>
  <c r="E1023" i="1"/>
  <c r="L1015" i="1"/>
  <c r="D1015" i="1"/>
  <c r="M1014" i="1"/>
  <c r="E1014" i="1"/>
  <c r="M1013" i="1"/>
  <c r="E1013" i="1"/>
  <c r="M1012" i="1"/>
  <c r="E1012" i="1"/>
  <c r="M1011" i="1"/>
  <c r="E1011" i="1"/>
  <c r="M1010" i="1"/>
  <c r="E1010" i="1"/>
  <c r="M1009" i="1"/>
  <c r="E1009" i="1"/>
  <c r="M1008" i="1"/>
  <c r="E1008" i="1"/>
  <c r="M1007" i="1"/>
  <c r="E1007" i="1"/>
  <c r="M1006" i="1"/>
  <c r="E1006" i="1"/>
  <c r="M1005" i="1"/>
  <c r="E1005" i="1"/>
  <c r="M1004" i="1"/>
  <c r="E1004" i="1"/>
  <c r="M1003" i="1"/>
  <c r="E1003" i="1"/>
  <c r="M1002" i="1"/>
  <c r="E1002" i="1"/>
  <c r="M1001" i="1"/>
  <c r="E1001" i="1"/>
  <c r="M1000" i="1"/>
  <c r="E1000" i="1"/>
  <c r="L992" i="1"/>
  <c r="M991" i="1"/>
  <c r="D991" i="1"/>
  <c r="M990" i="1"/>
  <c r="E990" i="1"/>
  <c r="M989" i="1"/>
  <c r="E989" i="1"/>
  <c r="M988" i="1"/>
  <c r="E988" i="1"/>
  <c r="M987" i="1"/>
  <c r="E987" i="1"/>
  <c r="M986" i="1"/>
  <c r="E986" i="1"/>
  <c r="M985" i="1"/>
  <c r="E985" i="1"/>
  <c r="M984" i="1"/>
  <c r="E984" i="1"/>
  <c r="M983" i="1"/>
  <c r="E983" i="1"/>
  <c r="M982" i="1"/>
  <c r="E982" i="1"/>
  <c r="M981" i="1"/>
  <c r="E981" i="1"/>
  <c r="M980" i="1"/>
  <c r="E980" i="1"/>
  <c r="M979" i="1"/>
  <c r="E979" i="1"/>
  <c r="M978" i="1"/>
  <c r="E978" i="1"/>
  <c r="M977" i="1"/>
  <c r="E977" i="1"/>
  <c r="E976" i="1"/>
  <c r="L967" i="1"/>
  <c r="D967" i="1"/>
  <c r="M966" i="1"/>
  <c r="E966" i="1"/>
  <c r="M965" i="1"/>
  <c r="E965" i="1"/>
  <c r="M964" i="1"/>
  <c r="E964" i="1"/>
  <c r="M963" i="1"/>
  <c r="E963" i="1"/>
  <c r="M962" i="1"/>
  <c r="E962" i="1"/>
  <c r="M961" i="1"/>
  <c r="E961" i="1"/>
  <c r="M960" i="1"/>
  <c r="E960" i="1"/>
  <c r="M959" i="1"/>
  <c r="E959" i="1"/>
  <c r="M958" i="1"/>
  <c r="E958" i="1"/>
  <c r="M957" i="1"/>
  <c r="E957" i="1"/>
  <c r="M956" i="1"/>
  <c r="E956" i="1"/>
  <c r="M955" i="1"/>
  <c r="E955" i="1"/>
  <c r="M954" i="1"/>
  <c r="E954" i="1"/>
  <c r="E953" i="1"/>
  <c r="M952" i="1"/>
  <c r="E952" i="1"/>
  <c r="D943" i="1"/>
  <c r="L942" i="1"/>
  <c r="E942" i="1"/>
  <c r="M941" i="1"/>
  <c r="E941" i="1"/>
  <c r="M940" i="1"/>
  <c r="E940" i="1"/>
  <c r="M939" i="1"/>
  <c r="E939" i="1"/>
  <c r="M938" i="1"/>
  <c r="E938" i="1"/>
  <c r="M937" i="1"/>
  <c r="E937" i="1"/>
  <c r="M936" i="1"/>
  <c r="E936" i="1"/>
  <c r="M935" i="1"/>
  <c r="E935" i="1"/>
  <c r="M934" i="1"/>
  <c r="E934" i="1"/>
  <c r="M933" i="1"/>
  <c r="E933" i="1"/>
  <c r="M932" i="1"/>
  <c r="E932" i="1"/>
  <c r="M931" i="1"/>
  <c r="E931" i="1"/>
  <c r="M930" i="1"/>
  <c r="E930" i="1"/>
  <c r="M929" i="1"/>
  <c r="E929" i="1"/>
  <c r="M928" i="1"/>
  <c r="M943" i="1" s="1"/>
  <c r="E928" i="1"/>
  <c r="L920" i="1"/>
  <c r="M919" i="1"/>
  <c r="D919" i="1"/>
  <c r="M918" i="1"/>
  <c r="E918" i="1"/>
  <c r="M917" i="1"/>
  <c r="E917" i="1"/>
  <c r="M916" i="1"/>
  <c r="E916" i="1"/>
  <c r="M915" i="1"/>
  <c r="E915" i="1"/>
  <c r="M914" i="1"/>
  <c r="E914" i="1"/>
  <c r="M913" i="1"/>
  <c r="E913" i="1"/>
  <c r="M912" i="1"/>
  <c r="E912" i="1"/>
  <c r="M911" i="1"/>
  <c r="E911" i="1"/>
  <c r="M910" i="1"/>
  <c r="E910" i="1"/>
  <c r="M909" i="1"/>
  <c r="E909" i="1"/>
  <c r="M908" i="1"/>
  <c r="E908" i="1"/>
  <c r="M907" i="1"/>
  <c r="E907" i="1"/>
  <c r="M906" i="1"/>
  <c r="E906" i="1"/>
  <c r="E905" i="1"/>
  <c r="L896" i="1"/>
  <c r="D896" i="1"/>
  <c r="M895" i="1"/>
  <c r="E895" i="1"/>
  <c r="M894" i="1"/>
  <c r="E894" i="1"/>
  <c r="M893" i="1"/>
  <c r="E893" i="1"/>
  <c r="M892" i="1"/>
  <c r="E892" i="1"/>
  <c r="M891" i="1"/>
  <c r="E891" i="1"/>
  <c r="M890" i="1"/>
  <c r="E890" i="1"/>
  <c r="M889" i="1"/>
  <c r="E889" i="1"/>
  <c r="M888" i="1"/>
  <c r="E888" i="1"/>
  <c r="M887" i="1"/>
  <c r="E887" i="1"/>
  <c r="M886" i="1"/>
  <c r="E886" i="1"/>
  <c r="M885" i="1"/>
  <c r="E885" i="1"/>
  <c r="M884" i="1"/>
  <c r="E884" i="1"/>
  <c r="M883" i="1"/>
  <c r="E883" i="1"/>
  <c r="M882" i="1"/>
  <c r="M897" i="1" s="1"/>
  <c r="E882" i="1"/>
  <c r="L873" i="1"/>
  <c r="D873" i="1"/>
  <c r="M872" i="1"/>
  <c r="E872" i="1"/>
  <c r="M871" i="1"/>
  <c r="E871" i="1"/>
  <c r="M870" i="1"/>
  <c r="E870" i="1"/>
  <c r="M869" i="1"/>
  <c r="E869" i="1"/>
  <c r="M868" i="1"/>
  <c r="E868" i="1"/>
  <c r="M867" i="1"/>
  <c r="E867" i="1"/>
  <c r="M866" i="1"/>
  <c r="E866" i="1"/>
  <c r="M865" i="1"/>
  <c r="E865" i="1"/>
  <c r="M864" i="1"/>
  <c r="E864" i="1"/>
  <c r="M863" i="1"/>
  <c r="E863" i="1"/>
  <c r="M862" i="1"/>
  <c r="E862" i="1"/>
  <c r="M861" i="1"/>
  <c r="E861" i="1"/>
  <c r="M860" i="1"/>
  <c r="E860" i="1"/>
  <c r="M859" i="1"/>
  <c r="E859" i="1"/>
  <c r="M858" i="1"/>
  <c r="M874" i="1" s="1"/>
  <c r="E858" i="1"/>
  <c r="L849" i="1"/>
  <c r="D849" i="1"/>
  <c r="M848" i="1"/>
  <c r="E848" i="1"/>
  <c r="M847" i="1"/>
  <c r="E847" i="1"/>
  <c r="M846" i="1"/>
  <c r="E846" i="1"/>
  <c r="M845" i="1"/>
  <c r="E845" i="1"/>
  <c r="M844" i="1"/>
  <c r="E844" i="1"/>
  <c r="M843" i="1"/>
  <c r="E843" i="1"/>
  <c r="M842" i="1"/>
  <c r="E842" i="1"/>
  <c r="M841" i="1"/>
  <c r="E841" i="1"/>
  <c r="M840" i="1"/>
  <c r="E840" i="1"/>
  <c r="M839" i="1"/>
  <c r="E839" i="1"/>
  <c r="M838" i="1"/>
  <c r="E838" i="1"/>
  <c r="M837" i="1"/>
  <c r="E837" i="1"/>
  <c r="M836" i="1"/>
  <c r="E836" i="1"/>
  <c r="M835" i="1"/>
  <c r="E835" i="1"/>
  <c r="M834" i="1"/>
  <c r="M850" i="1" s="1"/>
  <c r="E834" i="1"/>
  <c r="L826" i="1"/>
  <c r="D826" i="1"/>
  <c r="M825" i="1"/>
  <c r="E825" i="1"/>
  <c r="M824" i="1"/>
  <c r="E824" i="1"/>
  <c r="M823" i="1"/>
  <c r="E823" i="1"/>
  <c r="M822" i="1"/>
  <c r="E822" i="1"/>
  <c r="M821" i="1"/>
  <c r="E821" i="1"/>
  <c r="M820" i="1"/>
  <c r="E820" i="1"/>
  <c r="M819" i="1"/>
  <c r="E819" i="1"/>
  <c r="M818" i="1"/>
  <c r="E818" i="1"/>
  <c r="M817" i="1"/>
  <c r="E817" i="1"/>
  <c r="M816" i="1"/>
  <c r="E816" i="1"/>
  <c r="M815" i="1"/>
  <c r="E815" i="1"/>
  <c r="M814" i="1"/>
  <c r="E814" i="1"/>
  <c r="M813" i="1"/>
  <c r="E813" i="1"/>
  <c r="M812" i="1"/>
  <c r="E812" i="1"/>
  <c r="M811" i="1"/>
  <c r="M827" i="1" s="1"/>
  <c r="E811" i="1"/>
  <c r="L802" i="1"/>
  <c r="D802" i="1"/>
  <c r="M801" i="1"/>
  <c r="E801" i="1"/>
  <c r="M800" i="1"/>
  <c r="E800" i="1"/>
  <c r="M799" i="1"/>
  <c r="E799" i="1"/>
  <c r="M798" i="1"/>
  <c r="E798" i="1"/>
  <c r="M797" i="1"/>
  <c r="E797" i="1"/>
  <c r="M796" i="1"/>
  <c r="E796" i="1"/>
  <c r="M795" i="1"/>
  <c r="E795" i="1"/>
  <c r="M794" i="1"/>
  <c r="E794" i="1"/>
  <c r="M793" i="1"/>
  <c r="E793" i="1"/>
  <c r="M792" i="1"/>
  <c r="E792" i="1"/>
  <c r="M791" i="1"/>
  <c r="E791" i="1"/>
  <c r="M790" i="1"/>
  <c r="E790" i="1"/>
  <c r="M789" i="1"/>
  <c r="E789" i="1"/>
  <c r="M788" i="1"/>
  <c r="E788" i="1"/>
  <c r="M787" i="1"/>
  <c r="E787" i="1"/>
  <c r="L776" i="1"/>
  <c r="D776" i="1"/>
  <c r="M775" i="1"/>
  <c r="E775" i="1"/>
  <c r="M774" i="1"/>
  <c r="E774" i="1"/>
  <c r="M773" i="1"/>
  <c r="E773" i="1"/>
  <c r="M772" i="1"/>
  <c r="E772" i="1"/>
  <c r="M771" i="1"/>
  <c r="E771" i="1"/>
  <c r="M770" i="1"/>
  <c r="E770" i="1"/>
  <c r="M769" i="1"/>
  <c r="E769" i="1"/>
  <c r="M768" i="1"/>
  <c r="E768" i="1"/>
  <c r="M767" i="1"/>
  <c r="E767" i="1"/>
  <c r="M766" i="1"/>
  <c r="E766" i="1"/>
  <c r="M765" i="1"/>
  <c r="E765" i="1"/>
  <c r="M764" i="1"/>
  <c r="E764" i="1"/>
  <c r="M763" i="1"/>
  <c r="E763" i="1"/>
  <c r="M762" i="1"/>
  <c r="E762" i="1"/>
  <c r="L753" i="1"/>
  <c r="M752" i="1"/>
  <c r="D752" i="1"/>
  <c r="M751" i="1"/>
  <c r="E751" i="1"/>
  <c r="M750" i="1"/>
  <c r="E750" i="1"/>
  <c r="M749" i="1"/>
  <c r="E749" i="1"/>
  <c r="M748" i="1"/>
  <c r="E748" i="1"/>
  <c r="M747" i="1"/>
  <c r="E747" i="1"/>
  <c r="M746" i="1"/>
  <c r="E746" i="1"/>
  <c r="M745" i="1"/>
  <c r="E745" i="1"/>
  <c r="M744" i="1"/>
  <c r="E744" i="1"/>
  <c r="M743" i="1"/>
  <c r="E743" i="1"/>
  <c r="M742" i="1"/>
  <c r="E742" i="1"/>
  <c r="M741" i="1"/>
  <c r="E741" i="1"/>
  <c r="M740" i="1"/>
  <c r="E740" i="1"/>
  <c r="M739" i="1"/>
  <c r="E739" i="1"/>
  <c r="M738" i="1"/>
  <c r="E738" i="1"/>
  <c r="L729" i="1"/>
  <c r="D729" i="1"/>
  <c r="M728" i="1"/>
  <c r="E728" i="1"/>
  <c r="M727" i="1"/>
  <c r="E727" i="1"/>
  <c r="M726" i="1"/>
  <c r="E726" i="1"/>
  <c r="M725" i="1"/>
  <c r="E725" i="1"/>
  <c r="M724" i="1"/>
  <c r="E724" i="1"/>
  <c r="M723" i="1"/>
  <c r="E723" i="1"/>
  <c r="M722" i="1"/>
  <c r="E722" i="1"/>
  <c r="M721" i="1"/>
  <c r="E721" i="1"/>
  <c r="M720" i="1"/>
  <c r="E720" i="1"/>
  <c r="M719" i="1"/>
  <c r="E719" i="1"/>
  <c r="M718" i="1"/>
  <c r="E718" i="1"/>
  <c r="M717" i="1"/>
  <c r="E717" i="1"/>
  <c r="M716" i="1"/>
  <c r="E716" i="1"/>
  <c r="M715" i="1"/>
  <c r="E715" i="1"/>
  <c r="M714" i="1"/>
  <c r="E714" i="1"/>
  <c r="L707" i="1"/>
  <c r="D707" i="1"/>
  <c r="M706" i="1"/>
  <c r="E706" i="1"/>
  <c r="M705" i="1"/>
  <c r="E705" i="1"/>
  <c r="M704" i="1"/>
  <c r="E704" i="1"/>
  <c r="M703" i="1"/>
  <c r="E703" i="1"/>
  <c r="M702" i="1"/>
  <c r="E702" i="1"/>
  <c r="M701" i="1"/>
  <c r="E701" i="1"/>
  <c r="M700" i="1"/>
  <c r="E700" i="1"/>
  <c r="M699" i="1"/>
  <c r="E699" i="1"/>
  <c r="M698" i="1"/>
  <c r="E698" i="1"/>
  <c r="M697" i="1"/>
  <c r="E697" i="1"/>
  <c r="M696" i="1"/>
  <c r="E696" i="1"/>
  <c r="M695" i="1"/>
  <c r="E695" i="1"/>
  <c r="M694" i="1"/>
  <c r="E694" i="1"/>
  <c r="M693" i="1"/>
  <c r="E693" i="1"/>
  <c r="E708" i="1" s="1"/>
  <c r="L682" i="1"/>
  <c r="D682" i="1"/>
  <c r="M681" i="1"/>
  <c r="E681" i="1"/>
  <c r="M680" i="1"/>
  <c r="E680" i="1"/>
  <c r="M679" i="1"/>
  <c r="E679" i="1"/>
  <c r="M678" i="1"/>
  <c r="E678" i="1"/>
  <c r="M677" i="1"/>
  <c r="E677" i="1"/>
  <c r="M676" i="1"/>
  <c r="E676" i="1"/>
  <c r="M675" i="1"/>
  <c r="E675" i="1"/>
  <c r="M674" i="1"/>
  <c r="E674" i="1"/>
  <c r="M673" i="1"/>
  <c r="E673" i="1"/>
  <c r="M672" i="1"/>
  <c r="E672" i="1"/>
  <c r="M671" i="1"/>
  <c r="E671" i="1"/>
  <c r="M670" i="1"/>
  <c r="E670" i="1"/>
  <c r="M669" i="1"/>
  <c r="E669" i="1"/>
  <c r="M668" i="1"/>
  <c r="E668" i="1"/>
  <c r="L659" i="1"/>
  <c r="D659" i="1"/>
  <c r="M658" i="1"/>
  <c r="E658" i="1"/>
  <c r="M657" i="1"/>
  <c r="E657" i="1"/>
  <c r="M656" i="1"/>
  <c r="E656" i="1"/>
  <c r="M655" i="1"/>
  <c r="E655" i="1"/>
  <c r="M654" i="1"/>
  <c r="E654" i="1"/>
  <c r="M653" i="1"/>
  <c r="E653" i="1"/>
  <c r="M652" i="1"/>
  <c r="E652" i="1"/>
  <c r="M651" i="1"/>
  <c r="E651" i="1"/>
  <c r="M650" i="1"/>
  <c r="E650" i="1"/>
  <c r="M649" i="1"/>
  <c r="E649" i="1"/>
  <c r="M648" i="1"/>
  <c r="E648" i="1"/>
  <c r="M647" i="1"/>
  <c r="E647" i="1"/>
  <c r="M646" i="1"/>
  <c r="E646" i="1"/>
  <c r="M645" i="1"/>
  <c r="E645" i="1"/>
  <c r="E660" i="1" s="1"/>
  <c r="L634" i="1"/>
  <c r="D634" i="1"/>
  <c r="M633" i="1"/>
  <c r="E633" i="1"/>
  <c r="M632" i="1"/>
  <c r="E632" i="1"/>
  <c r="M631" i="1"/>
  <c r="E631" i="1"/>
  <c r="M630" i="1"/>
  <c r="E630" i="1"/>
  <c r="M629" i="1"/>
  <c r="E629" i="1"/>
  <c r="M628" i="1"/>
  <c r="E628" i="1"/>
  <c r="M627" i="1"/>
  <c r="E627" i="1"/>
  <c r="M626" i="1"/>
  <c r="E626" i="1"/>
  <c r="M625" i="1"/>
  <c r="E625" i="1"/>
  <c r="M624" i="1"/>
  <c r="E624" i="1"/>
  <c r="M623" i="1"/>
  <c r="E623" i="1"/>
  <c r="M622" i="1"/>
  <c r="E622" i="1"/>
  <c r="M621" i="1"/>
  <c r="E621" i="1"/>
  <c r="M620" i="1"/>
  <c r="E620" i="1"/>
  <c r="D610" i="1"/>
  <c r="L609" i="1"/>
  <c r="E609" i="1"/>
  <c r="M608" i="1"/>
  <c r="E608" i="1"/>
  <c r="M607" i="1"/>
  <c r="E607" i="1"/>
  <c r="M606" i="1"/>
  <c r="E606" i="1"/>
  <c r="M605" i="1"/>
  <c r="E605" i="1"/>
  <c r="M604" i="1"/>
  <c r="E604" i="1"/>
  <c r="M603" i="1"/>
  <c r="E603" i="1"/>
  <c r="M602" i="1"/>
  <c r="E602" i="1"/>
  <c r="M601" i="1"/>
  <c r="E601" i="1"/>
  <c r="M600" i="1"/>
  <c r="E600" i="1"/>
  <c r="M599" i="1"/>
  <c r="E599" i="1"/>
  <c r="M598" i="1"/>
  <c r="E598" i="1"/>
  <c r="M597" i="1"/>
  <c r="E597" i="1"/>
  <c r="M596" i="1"/>
  <c r="E596" i="1"/>
  <c r="M595" i="1"/>
  <c r="E595" i="1"/>
  <c r="M594" i="1"/>
  <c r="L585" i="1"/>
  <c r="D585" i="1"/>
  <c r="M584" i="1"/>
  <c r="E584" i="1"/>
  <c r="M583" i="1"/>
  <c r="E583" i="1"/>
  <c r="M582" i="1"/>
  <c r="E582" i="1"/>
  <c r="M581" i="1"/>
  <c r="E581" i="1"/>
  <c r="M580" i="1"/>
  <c r="E580" i="1"/>
  <c r="M579" i="1"/>
  <c r="E579" i="1"/>
  <c r="M578" i="1"/>
  <c r="E578" i="1"/>
  <c r="M577" i="1"/>
  <c r="E577" i="1"/>
  <c r="M576" i="1"/>
  <c r="E576" i="1"/>
  <c r="M575" i="1"/>
  <c r="E575" i="1"/>
  <c r="M574" i="1"/>
  <c r="E574" i="1"/>
  <c r="M573" i="1"/>
  <c r="E573" i="1"/>
  <c r="M572" i="1"/>
  <c r="E572" i="1"/>
  <c r="M571" i="1"/>
  <c r="E571" i="1"/>
  <c r="E586" i="1" s="1"/>
  <c r="L564" i="1"/>
  <c r="M563" i="1"/>
  <c r="M562" i="1"/>
  <c r="D562" i="1"/>
  <c r="M561" i="1"/>
  <c r="E561" i="1"/>
  <c r="M560" i="1"/>
  <c r="E560" i="1"/>
  <c r="M559" i="1"/>
  <c r="E559" i="1"/>
  <c r="M558" i="1"/>
  <c r="E558" i="1"/>
  <c r="M557" i="1"/>
  <c r="E557" i="1"/>
  <c r="M556" i="1"/>
  <c r="E556" i="1"/>
  <c r="M555" i="1"/>
  <c r="E555" i="1"/>
  <c r="M554" i="1"/>
  <c r="E554" i="1"/>
  <c r="M553" i="1"/>
  <c r="E553" i="1"/>
  <c r="M552" i="1"/>
  <c r="E552" i="1"/>
  <c r="M551" i="1"/>
  <c r="E551" i="1"/>
  <c r="M550" i="1"/>
  <c r="E550" i="1"/>
  <c r="E549" i="1"/>
  <c r="E548" i="1"/>
  <c r="L541" i="1"/>
  <c r="M540" i="1"/>
  <c r="D540" i="1"/>
  <c r="M539" i="1"/>
  <c r="E539" i="1"/>
  <c r="M538" i="1"/>
  <c r="E538" i="1"/>
  <c r="M537" i="1"/>
  <c r="E537" i="1"/>
  <c r="M536" i="1"/>
  <c r="E536" i="1"/>
  <c r="M535" i="1"/>
  <c r="E535" i="1"/>
  <c r="M534" i="1"/>
  <c r="E534" i="1"/>
  <c r="M533" i="1"/>
  <c r="E533" i="1"/>
  <c r="M532" i="1"/>
  <c r="E532" i="1"/>
  <c r="M531" i="1"/>
  <c r="E531" i="1"/>
  <c r="M530" i="1"/>
  <c r="E530" i="1"/>
  <c r="M529" i="1"/>
  <c r="E529" i="1"/>
  <c r="M528" i="1"/>
  <c r="E528" i="1"/>
  <c r="M527" i="1"/>
  <c r="E527" i="1"/>
  <c r="E526" i="1"/>
  <c r="L518" i="1"/>
  <c r="D518" i="1"/>
  <c r="M517" i="1"/>
  <c r="E517" i="1"/>
  <c r="M516" i="1"/>
  <c r="E516" i="1"/>
  <c r="M515" i="1"/>
  <c r="E515" i="1"/>
  <c r="M514" i="1"/>
  <c r="E514" i="1"/>
  <c r="M513" i="1"/>
  <c r="E513" i="1"/>
  <c r="M512" i="1"/>
  <c r="E512" i="1"/>
  <c r="M511" i="1"/>
  <c r="E511" i="1"/>
  <c r="M510" i="1"/>
  <c r="E510" i="1"/>
  <c r="M509" i="1"/>
  <c r="E509" i="1"/>
  <c r="M508" i="1"/>
  <c r="E508" i="1"/>
  <c r="M507" i="1"/>
  <c r="E507" i="1"/>
  <c r="M506" i="1"/>
  <c r="E506" i="1"/>
  <c r="M505" i="1"/>
  <c r="E505" i="1"/>
  <c r="M504" i="1"/>
  <c r="E504" i="1"/>
  <c r="D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D472" i="1"/>
  <c r="L471" i="1"/>
  <c r="E471" i="1"/>
  <c r="M470" i="1"/>
  <c r="E470" i="1"/>
  <c r="M469" i="1"/>
  <c r="E469" i="1"/>
  <c r="M468" i="1"/>
  <c r="E468" i="1"/>
  <c r="M467" i="1"/>
  <c r="E467" i="1"/>
  <c r="M466" i="1"/>
  <c r="E466" i="1"/>
  <c r="M465" i="1"/>
  <c r="E465" i="1"/>
  <c r="M464" i="1"/>
  <c r="E464" i="1"/>
  <c r="M463" i="1"/>
  <c r="E463" i="1"/>
  <c r="M462" i="1"/>
  <c r="E462" i="1"/>
  <c r="M461" i="1"/>
  <c r="E461" i="1"/>
  <c r="M460" i="1"/>
  <c r="E460" i="1"/>
  <c r="M459" i="1"/>
  <c r="E459" i="1"/>
  <c r="M458" i="1"/>
  <c r="E458" i="1"/>
  <c r="L449" i="1"/>
  <c r="D449" i="1"/>
  <c r="M448" i="1"/>
  <c r="E448" i="1"/>
  <c r="M447" i="1"/>
  <c r="E447" i="1"/>
  <c r="M446" i="1"/>
  <c r="E446" i="1"/>
  <c r="M445" i="1"/>
  <c r="E445" i="1"/>
  <c r="M444" i="1"/>
  <c r="E444" i="1"/>
  <c r="M443" i="1"/>
  <c r="E443" i="1"/>
  <c r="M442" i="1"/>
  <c r="E442" i="1"/>
  <c r="M441" i="1"/>
  <c r="E441" i="1"/>
  <c r="M440" i="1"/>
  <c r="E440" i="1"/>
  <c r="M439" i="1"/>
  <c r="E439" i="1"/>
  <c r="M438" i="1"/>
  <c r="E438" i="1"/>
  <c r="M437" i="1"/>
  <c r="E437" i="1"/>
  <c r="M436" i="1"/>
  <c r="E436" i="1"/>
  <c r="M435" i="1"/>
  <c r="E435" i="1"/>
  <c r="L426" i="1"/>
  <c r="M425" i="1"/>
  <c r="E425" i="1"/>
  <c r="M424" i="1"/>
  <c r="F424" i="1"/>
  <c r="M423" i="1"/>
  <c r="F423" i="1"/>
  <c r="M422" i="1"/>
  <c r="F422" i="1"/>
  <c r="M421" i="1"/>
  <c r="F421" i="1"/>
  <c r="M420" i="1"/>
  <c r="F420" i="1"/>
  <c r="M419" i="1"/>
  <c r="F419" i="1"/>
  <c r="M418" i="1"/>
  <c r="F418" i="1"/>
  <c r="M417" i="1"/>
  <c r="F417" i="1"/>
  <c r="M416" i="1"/>
  <c r="F416" i="1"/>
  <c r="M415" i="1"/>
  <c r="F415" i="1"/>
  <c r="M414" i="1"/>
  <c r="F414" i="1"/>
  <c r="M413" i="1"/>
  <c r="F413" i="1"/>
  <c r="F412" i="1"/>
  <c r="L402" i="1"/>
  <c r="D402" i="1"/>
  <c r="M401" i="1"/>
  <c r="E401" i="1"/>
  <c r="M400" i="1"/>
  <c r="E400" i="1"/>
  <c r="M399" i="1"/>
  <c r="E399" i="1"/>
  <c r="M398" i="1"/>
  <c r="E398" i="1"/>
  <c r="M397" i="1"/>
  <c r="E397" i="1"/>
  <c r="M396" i="1"/>
  <c r="E396" i="1"/>
  <c r="M395" i="1"/>
  <c r="E395" i="1"/>
  <c r="M394" i="1"/>
  <c r="E394" i="1"/>
  <c r="M393" i="1"/>
  <c r="E393" i="1"/>
  <c r="M392" i="1"/>
  <c r="E392" i="1"/>
  <c r="M391" i="1"/>
  <c r="E391" i="1"/>
  <c r="M390" i="1"/>
  <c r="E390" i="1"/>
  <c r="M389" i="1"/>
  <c r="E389" i="1"/>
  <c r="L381" i="1"/>
  <c r="D381" i="1"/>
  <c r="M380" i="1"/>
  <c r="E380" i="1"/>
  <c r="M379" i="1"/>
  <c r="E379" i="1"/>
  <c r="M378" i="1"/>
  <c r="E378" i="1"/>
  <c r="M377" i="1"/>
  <c r="E377" i="1"/>
  <c r="M376" i="1"/>
  <c r="E376" i="1"/>
  <c r="M375" i="1"/>
  <c r="E375" i="1"/>
  <c r="M374" i="1"/>
  <c r="E374" i="1"/>
  <c r="M373" i="1"/>
  <c r="E373" i="1"/>
  <c r="M372" i="1"/>
  <c r="E372" i="1"/>
  <c r="M371" i="1"/>
  <c r="E371" i="1"/>
  <c r="M370" i="1"/>
  <c r="E370" i="1"/>
  <c r="M369" i="1"/>
  <c r="E369" i="1"/>
  <c r="M368" i="1"/>
  <c r="E368" i="1"/>
  <c r="L359" i="1"/>
  <c r="D359" i="1"/>
  <c r="M358" i="1"/>
  <c r="E358" i="1"/>
  <c r="M357" i="1"/>
  <c r="E357" i="1"/>
  <c r="M356" i="1"/>
  <c r="E356" i="1"/>
  <c r="M355" i="1"/>
  <c r="E355" i="1"/>
  <c r="M354" i="1"/>
  <c r="E354" i="1"/>
  <c r="M353" i="1"/>
  <c r="E353" i="1"/>
  <c r="M352" i="1"/>
  <c r="E352" i="1"/>
  <c r="M351" i="1"/>
  <c r="E351" i="1"/>
  <c r="M350" i="1"/>
  <c r="E350" i="1"/>
  <c r="M349" i="1"/>
  <c r="E349" i="1"/>
  <c r="M348" i="1"/>
  <c r="M347" i="1"/>
  <c r="E347" i="1"/>
  <c r="M346" i="1"/>
  <c r="E346" i="1"/>
  <c r="D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D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D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D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D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D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D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D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D164" i="1"/>
  <c r="E163" i="1"/>
  <c r="E162" i="1"/>
  <c r="E161" i="1"/>
  <c r="E160" i="1"/>
  <c r="E159" i="1"/>
  <c r="E158" i="1"/>
  <c r="E157" i="1"/>
  <c r="E156" i="1"/>
  <c r="E155" i="1"/>
  <c r="E154" i="1"/>
  <c r="E153" i="1"/>
  <c r="D144" i="1"/>
  <c r="E143" i="1"/>
  <c r="E142" i="1"/>
  <c r="E141" i="1"/>
  <c r="E140" i="1"/>
  <c r="E139" i="1"/>
  <c r="E138" i="1"/>
  <c r="E137" i="1"/>
  <c r="E136" i="1"/>
  <c r="E135" i="1"/>
  <c r="E134" i="1"/>
  <c r="E133" i="1"/>
  <c r="D123" i="1"/>
  <c r="E122" i="1"/>
  <c r="E121" i="1"/>
  <c r="E120" i="1"/>
  <c r="E119" i="1"/>
  <c r="E118" i="1"/>
  <c r="E117" i="1"/>
  <c r="E116" i="1"/>
  <c r="E115" i="1"/>
  <c r="E114" i="1"/>
  <c r="E113" i="1"/>
  <c r="D107" i="1"/>
  <c r="E106" i="1"/>
  <c r="E105" i="1"/>
  <c r="E104" i="1"/>
  <c r="E103" i="1"/>
  <c r="E102" i="1"/>
  <c r="E101" i="1"/>
  <c r="E100" i="1"/>
  <c r="E99" i="1"/>
  <c r="E98" i="1"/>
  <c r="E97" i="1"/>
  <c r="D88" i="1"/>
  <c r="E87" i="1"/>
  <c r="E86" i="1"/>
  <c r="E85" i="1"/>
  <c r="E84" i="1"/>
  <c r="E83" i="1"/>
  <c r="E82" i="1"/>
  <c r="E81" i="1"/>
  <c r="E80" i="1"/>
  <c r="E79" i="1"/>
  <c r="E78" i="1"/>
  <c r="D69" i="1"/>
  <c r="E68" i="1"/>
  <c r="E67" i="1"/>
  <c r="E66" i="1"/>
  <c r="E65" i="1"/>
  <c r="E64" i="1"/>
  <c r="E63" i="1"/>
  <c r="E62" i="1"/>
  <c r="E61" i="1"/>
  <c r="E60" i="1"/>
  <c r="E59" i="1"/>
  <c r="D52" i="1"/>
  <c r="E51" i="1"/>
  <c r="E50" i="1"/>
  <c r="E49" i="1"/>
  <c r="E48" i="1"/>
  <c r="E47" i="1"/>
  <c r="E46" i="1"/>
  <c r="E45" i="1"/>
  <c r="E44" i="1"/>
  <c r="E43" i="1"/>
  <c r="E42" i="1"/>
  <c r="D33" i="1"/>
  <c r="E32" i="1"/>
  <c r="E31" i="1"/>
  <c r="E30" i="1"/>
  <c r="E29" i="1"/>
  <c r="E28" i="1"/>
  <c r="E27" i="1"/>
  <c r="E26" i="1"/>
  <c r="E25" i="1"/>
  <c r="E24" i="1"/>
  <c r="D13" i="1"/>
  <c r="E12" i="1"/>
  <c r="E11" i="1"/>
  <c r="E10" i="1"/>
  <c r="E9" i="1"/>
  <c r="E8" i="1"/>
  <c r="E7" i="1"/>
  <c r="E6" i="1"/>
  <c r="E5" i="1"/>
  <c r="E4" i="1"/>
  <c r="E541" i="1" l="1"/>
  <c r="M1137" i="1"/>
  <c r="E1512" i="1"/>
  <c r="M427" i="1"/>
  <c r="E473" i="1"/>
  <c r="M1190" i="1"/>
  <c r="E1347" i="1"/>
  <c r="M1378" i="1"/>
  <c r="M1406" i="1"/>
  <c r="E1485" i="1"/>
  <c r="M1559" i="1"/>
  <c r="M1462" i="1"/>
  <c r="E382" i="1"/>
  <c r="E450" i="1"/>
  <c r="M565" i="1"/>
  <c r="M660" i="1"/>
  <c r="M708" i="1"/>
  <c r="E897" i="1"/>
  <c r="E920" i="1"/>
  <c r="E992" i="1"/>
  <c r="E1016" i="1"/>
  <c r="E1039" i="1"/>
  <c r="E1061" i="1"/>
  <c r="M1269" i="1"/>
  <c r="E164" i="1"/>
  <c r="E267" i="1"/>
  <c r="E317" i="1"/>
  <c r="E338" i="1"/>
  <c r="M382" i="1"/>
  <c r="M403" i="1"/>
  <c r="M450" i="1"/>
  <c r="E496" i="1"/>
  <c r="E519" i="1"/>
  <c r="M542" i="1"/>
  <c r="M610" i="1"/>
  <c r="E635" i="1"/>
  <c r="E683" i="1"/>
  <c r="M777" i="1"/>
  <c r="M1016" i="1"/>
  <c r="M1039" i="1"/>
  <c r="E1458" i="1"/>
  <c r="E1563" i="1"/>
  <c r="M968" i="1"/>
  <c r="M360" i="1"/>
  <c r="E563" i="1"/>
  <c r="E730" i="1"/>
  <c r="E968" i="1"/>
  <c r="M1063" i="1"/>
  <c r="M1242" i="1"/>
  <c r="M1295" i="1"/>
  <c r="M586" i="1"/>
  <c r="E611" i="1"/>
  <c r="M635" i="1"/>
  <c r="M683" i="1"/>
  <c r="M730" i="1"/>
  <c r="M754" i="1"/>
  <c r="E777" i="1"/>
  <c r="E803" i="1"/>
  <c r="E827" i="1"/>
  <c r="E850" i="1"/>
  <c r="E874" i="1"/>
  <c r="M921" i="1"/>
  <c r="E944" i="1"/>
  <c r="M993" i="1"/>
  <c r="E1087" i="1"/>
  <c r="E1110" i="1"/>
  <c r="E1134" i="1"/>
  <c r="E1160" i="1"/>
  <c r="M1349" i="1"/>
  <c r="E1375" i="1"/>
  <c r="E1403" i="1"/>
  <c r="E1431" i="1"/>
  <c r="M1512" i="1"/>
  <c r="M1538" i="1"/>
  <c r="E294" i="1"/>
  <c r="M472" i="1"/>
  <c r="E360" i="1"/>
  <c r="E403" i="1"/>
  <c r="M519" i="1"/>
  <c r="E753" i="1"/>
  <c r="M803" i="1"/>
  <c r="M1087" i="1"/>
  <c r="M1112" i="1"/>
  <c r="M1163" i="1"/>
  <c r="M1323" i="1"/>
  <c r="M1434" i="1"/>
  <c r="M1572" i="1"/>
  <c r="M1584" i="1"/>
  <c r="M1582" i="1"/>
  <c r="M1581" i="1"/>
  <c r="M1583" i="1"/>
  <c r="M1575" i="1"/>
  <c r="M1580" i="1"/>
  <c r="M1586" i="1"/>
  <c r="M1577" i="1"/>
  <c r="M1576" i="1"/>
  <c r="M1587" i="1"/>
  <c r="M1588" i="1"/>
  <c r="M1585" i="1"/>
  <c r="M1574" i="1"/>
  <c r="M1573" i="1"/>
  <c r="L1589" i="1"/>
  <c r="M1579" i="1"/>
  <c r="M1578" i="1"/>
</calcChain>
</file>

<file path=xl/sharedStrings.xml><?xml version="1.0" encoding="utf-8"?>
<sst xmlns="http://schemas.openxmlformats.org/spreadsheetml/2006/main" count="4451" uniqueCount="600">
  <si>
    <t xml:space="preserve">               27.10.2022-001      Fresco INTUMESCENT</t>
  </si>
  <si>
    <t>30.10.22</t>
  </si>
  <si>
    <t>27.10.22</t>
  </si>
  <si>
    <t>הוראות יצור</t>
  </si>
  <si>
    <t xml:space="preserve">המלצות </t>
  </si>
  <si>
    <t>חומר</t>
  </si>
  <si>
    <t>אחוז</t>
  </si>
  <si>
    <t>כמות ק''ג</t>
  </si>
  <si>
    <t>PH</t>
  </si>
  <si>
    <t>5 min 300 rpm</t>
  </si>
  <si>
    <t>water</t>
  </si>
  <si>
    <t>S.G gr/cm3</t>
  </si>
  <si>
    <t>OROTAN 1124</t>
  </si>
  <si>
    <t>OROTAN 731</t>
  </si>
  <si>
    <r>
      <t xml:space="preserve">viscosity </t>
    </r>
    <r>
      <rPr>
        <sz val="9"/>
        <color theme="1"/>
        <rFont val="Arial"/>
        <family val="2"/>
        <scheme val="minor"/>
      </rPr>
      <t xml:space="preserve">(26 </t>
    </r>
    <r>
      <rPr>
        <vertAlign val="superscript"/>
        <sz val="9"/>
        <color theme="1"/>
        <rFont val="Arial"/>
        <family val="2"/>
        <scheme val="minor"/>
      </rPr>
      <t>O</t>
    </r>
    <r>
      <rPr>
        <sz val="9"/>
        <color theme="1"/>
        <rFont val="Arial"/>
        <family val="2"/>
        <scheme val="minor"/>
      </rPr>
      <t>C, SPD 4)</t>
    </r>
    <r>
      <rPr>
        <sz val="11"/>
        <color theme="1"/>
        <rFont val="Arial"/>
        <family val="2"/>
        <charset val="177"/>
        <scheme val="minor"/>
      </rPr>
      <t>,cps</t>
    </r>
  </si>
  <si>
    <t>30 min 1700 rpm</t>
  </si>
  <si>
    <t>KELZAN AR</t>
  </si>
  <si>
    <t>XANTHAN</t>
  </si>
  <si>
    <t>6 rpm</t>
  </si>
  <si>
    <t>-</t>
  </si>
  <si>
    <t>AGITAN 80</t>
  </si>
  <si>
    <t>12 rpm</t>
  </si>
  <si>
    <t>20 min 1700 rpm</t>
  </si>
  <si>
    <t>TIONA 595</t>
  </si>
  <si>
    <t>TIONA 826</t>
  </si>
  <si>
    <t>30 rpm</t>
  </si>
  <si>
    <t>5 min 500 rpm</t>
  </si>
  <si>
    <t>PENTAERYTHRITOL</t>
  </si>
  <si>
    <t xml:space="preserve"> CHARMOR PM 40</t>
  </si>
  <si>
    <t>60 rpm</t>
  </si>
  <si>
    <t>MELAFINE</t>
  </si>
  <si>
    <t>AFLAMMIT PMN200</t>
  </si>
  <si>
    <t>EXOLIT AP435</t>
  </si>
  <si>
    <t>1500 rpm</t>
  </si>
  <si>
    <t>MOWILITH DM230</t>
  </si>
  <si>
    <t>ENCOR 367</t>
  </si>
  <si>
    <t>לאחר הוספת AFLAMIT 200 הוספנו קרח כי הדוגמה התחממה</t>
  </si>
  <si>
    <t xml:space="preserve">               31.10.2022-002      Fresco INTUMESCENT</t>
  </si>
  <si>
    <t>22.11.22</t>
  </si>
  <si>
    <t>מאוד מוקצף הוספנו עוד אנטי קצף + עירבוב ידני</t>
  </si>
  <si>
    <t>25 min 1500 rpm</t>
  </si>
  <si>
    <t>5 min 1500 rpm</t>
  </si>
  <si>
    <t>5 min 1200 rpm</t>
  </si>
  <si>
    <t>10 min 1400 rpm</t>
  </si>
  <si>
    <t xml:space="preserve">               10.11.2022-003     Fresco INTUMESCENT</t>
  </si>
  <si>
    <t>16.11.22</t>
  </si>
  <si>
    <t>13.11.22</t>
  </si>
  <si>
    <t>10.11.22</t>
  </si>
  <si>
    <t>מאוד מוקצף הוספנו 80 גרם אנטי קצף + עירבוב ידני</t>
  </si>
  <si>
    <t>5 min 600 rpm</t>
  </si>
  <si>
    <t>10 min 1200 rpm</t>
  </si>
  <si>
    <t>COMBIZELL</t>
  </si>
  <si>
    <t>RM-825</t>
  </si>
  <si>
    <t>20 min 1400 rpm</t>
  </si>
  <si>
    <t xml:space="preserve">               22.11.2022-003.1     Fresco INTUMESCENT</t>
  </si>
  <si>
    <t>23.11.22</t>
  </si>
  <si>
    <t xml:space="preserve">               22.11.2022-003.2     Fresco INTUMESCENT</t>
  </si>
  <si>
    <t xml:space="preserve">              23.11.2022-003.3     Fresco INTUMESCENT</t>
  </si>
  <si>
    <t>24.11.22</t>
  </si>
  <si>
    <t>20 min 1500 rpm</t>
  </si>
  <si>
    <t xml:space="preserve">               16.11.2022-004     Fresco INTUMESCENT</t>
  </si>
  <si>
    <t>מאוד מוקצף הכנסנו אגיטן 80</t>
  </si>
  <si>
    <t>30 min HIGH SHEAR</t>
  </si>
  <si>
    <t>Add until total homogenisation with high shear mixer</t>
  </si>
  <si>
    <t>1300 rpm</t>
  </si>
  <si>
    <t>800 rpm</t>
  </si>
  <si>
    <t>MOWILITH LDM 2310</t>
  </si>
  <si>
    <t xml:space="preserve">               11.12.2022-005      Fresco INTUMESCENT</t>
  </si>
  <si>
    <t>מבוסס על מרשם 002 - עם טקסנול וביוציד</t>
  </si>
  <si>
    <t>Add until total homogenisation with a reduced shear rate</t>
  </si>
  <si>
    <t>Texanol</t>
  </si>
  <si>
    <t>VINKOCID CMIF</t>
  </si>
  <si>
    <t xml:space="preserve">               11.12.2022-006      Fresco INTUMESCENT</t>
  </si>
  <si>
    <t>מבוסס על מרשם 002 - עם טקסנול וביוציד וטיטן BLR 895</t>
  </si>
  <si>
    <t>BLR 895</t>
  </si>
  <si>
    <t xml:space="preserve">               11.12.2022-007      Fresco INTUMESCENT</t>
  </si>
  <si>
    <t>מבוסס על מרשם 005 - עם החלפת מסמיכים</t>
  </si>
  <si>
    <t>Biocide CMIF</t>
  </si>
  <si>
    <t xml:space="preserve">               22.12.2022-008      Fresco INTUMESCENT</t>
  </si>
  <si>
    <t>מבוסס על מרשם 007 - עם החלפת מסמיכים</t>
  </si>
  <si>
    <t xml:space="preserve">               25.12.2022-009      Fresco INTUMESCENT</t>
  </si>
  <si>
    <t xml:space="preserve">               27.12.2022-010     Fresco INTUMESCENT</t>
  </si>
  <si>
    <t xml:space="preserve">עירבוב מרשם 009+008, דדי יקבל 6 דוגמאות של 250 מ''ל מדודוללים 5% מים מזוקקים -kvfbv go </t>
  </si>
  <si>
    <t xml:space="preserve">              03.1.2023-011     Fresco INTUMESCENT</t>
  </si>
  <si>
    <t>על בסיס 010-  הקטנת מסמיכים, הכנת 2.5 ק"ג  ופיצול נוגד קצף</t>
  </si>
  <si>
    <t xml:space="preserve"> - 17.01.2023</t>
  </si>
  <si>
    <t>נשלח לקלאוס חברת קלריאנט 4 בקבוקים של 600 גרם לבדיקות תקן</t>
  </si>
  <si>
    <t>במדבקה כתוב מנה 03.01.23-010 אבל הרוב היה נוסחה 011.</t>
  </si>
  <si>
    <t xml:space="preserve">             01.2.2023-012     Fresco INTUMESCENT</t>
  </si>
  <si>
    <t>על בסיס 011-  הקטנת מסמיכים, הכנת 2.7 ק"ג לכיסוי יותר טוב של הדיסק ופיצול נוגד קצף</t>
  </si>
  <si>
    <t>נשלח כדוגמאות לדדי ב9.2.23</t>
  </si>
  <si>
    <t xml:space="preserve">            14.2.2023-013     Fresco INTUMESCENT</t>
  </si>
  <si>
    <t>על בסיס 012-  הגדלת גודל מנה בהכנה עם דיסק גדול במעבדה</t>
  </si>
  <si>
    <t xml:space="preserve">            16.2.2023-013     Fresco INTUMESCENT</t>
  </si>
  <si>
    <t xml:space="preserve">            27.6.2023-014     Fresco INTUMESCENT</t>
  </si>
  <si>
    <t xml:space="preserve">            28.6.2023-014(1)     Fresco INTUMESCENT</t>
  </si>
  <si>
    <t>על בסיס 013-  הכנה במעבדה. הוצאת 825 RM - הכנת 1 ק"ג על בסיס מרשם 013</t>
  </si>
  <si>
    <t>שעה - הערות</t>
  </si>
  <si>
    <t>הכנס חומרים לאט ופזר היטב. הפעל 5 דקות דספרסיה בין הכנסת כל חומר. וודא שאין קצף לפני המעבר לשלב הבא. עבוד במהירות בF10</t>
  </si>
  <si>
    <t>הכנס ללא גושים ובסיום דספרסיה 5 דקות  בF 13</t>
  </si>
  <si>
    <t>הכנס ללא גושים ובסיום דספרסיה 5 דקות  בF 15</t>
  </si>
  <si>
    <t>הכנס ללא גושים ובסיום דספרסיה 5 דקות  בF 18</t>
  </si>
  <si>
    <t>הכנס בזרם דק עד להומוגניות  בF 15</t>
  </si>
  <si>
    <t>הכנס ללא גושים  ב F18 עליה ל F21 ובסיום דספרסיה במשך 5 דקות . שים לב שלא יתחמם מידי</t>
  </si>
  <si>
    <t>הכנס בזרם דק עד להומוגניות  בF 12</t>
  </si>
  <si>
    <t>יש להכניס תוך ערבוב ולהמשיך ערבוב איטי כ5 דקות</t>
  </si>
  <si>
    <t xml:space="preserve">            29.6.2023-015     Fresco INTUMESCENT</t>
  </si>
  <si>
    <t xml:space="preserve">            29.6.2023-016     Fresco INTUMESCENT</t>
  </si>
  <si>
    <t>על בסיס 014-  הכנה במנוע חזק - לטקס ווקר VINNAPAS EZ 3112</t>
  </si>
  <si>
    <t>על בסיס 014-  הכנה במנוע חזק - לטקס Synthomer EMULTEX FR 797</t>
  </si>
  <si>
    <t>VINNAPAS EZ 3112</t>
  </si>
  <si>
    <t>EMULTEX FR 797</t>
  </si>
  <si>
    <t xml:space="preserve">            29.6.2023-017     Fresco INTUMESCENT</t>
  </si>
  <si>
    <t xml:space="preserve">           17.7.2023-018     Fresco INTUMESCENT</t>
  </si>
  <si>
    <t xml:space="preserve">על בסיס 014-  הכנה במנוע חזק - לטקס ENCOR 2394 ARKEMA </t>
  </si>
  <si>
    <t>ג על בסיס מרשם  014 - עם FR CROS 584</t>
  </si>
  <si>
    <t>FR CROS 584</t>
  </si>
  <si>
    <t>ENCOR 2394</t>
  </si>
  <si>
    <t xml:space="preserve">              15.3.2023-020     Fresco INTUMESCENT</t>
  </si>
  <si>
    <t>על בסיס 011-  מסמיך קסנטם גם + אמולטקס 797 - על פי  תיקוני קלאוס</t>
  </si>
  <si>
    <t xml:space="preserve">           17.7.2023-019     Fresco INTUMESCENT</t>
  </si>
  <si>
    <t>ג על בסיס מרשם  014 - עם FR CROS 487</t>
  </si>
  <si>
    <t>5 min HIGH SHEAR</t>
  </si>
  <si>
    <t>Mix well</t>
  </si>
  <si>
    <t>FR CROS 487</t>
  </si>
  <si>
    <t>Emultex FR 797</t>
  </si>
  <si>
    <t xml:space="preserve">            18.7.2023-021     Fresco INTUMESCENT</t>
  </si>
  <si>
    <t xml:space="preserve">            19.7.2023-022     Fresco INTUMESCENT</t>
  </si>
  <si>
    <t>על בסיס 016-   Synthomer EMULTEX FR 797 + הקטנת לטקס ומסמיך + סיבים  Lapinus CF 10</t>
  </si>
  <si>
    <t>על בסיס 015-   VINNAPAS EZ 3112+ הקטנת לטקס ומסמיך + סיבים  Lapinus CF 10</t>
  </si>
  <si>
    <t>Lapinus CF 10</t>
  </si>
  <si>
    <t>להכניס לאט ובהדרגה  לפוזור מלא ב12 F</t>
  </si>
  <si>
    <t>הכנס לטקס בזרם דק עד להומוגניות  בF 12, לאחר מכן הכנס אגיטן ובסיום המשך 7 דקות ערבול</t>
  </si>
  <si>
    <t>הכנס בזרם דק עד להומוגניות  בF 12  לאחר מכן הכנס אגיטן ובסיום המשך 7 דקות ערבול</t>
  </si>
  <si>
    <t xml:space="preserve">            19.7.2023-023    Fresco INTUMESCENT</t>
  </si>
  <si>
    <t xml:space="preserve">         25.7.2023-024    Fresco INTUMESCENT</t>
  </si>
  <si>
    <t>על בסיס 017-   ENCOR 2394 + הקטנת לטקס ומסמיך + סיבים  Lapinus CF 10</t>
  </si>
  <si>
    <t>ג על פי הנחיות בבודנהיים - עם FR CROS 584 +ENCOR 2394, הגדלת TIO2 ומסמיך</t>
  </si>
  <si>
    <t xml:space="preserve"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 </t>
  </si>
  <si>
    <r>
      <t xml:space="preserve">להכניס </t>
    </r>
    <r>
      <rPr>
        <b/>
        <sz val="14"/>
        <color theme="1"/>
        <rFont val="Arial"/>
        <family val="2"/>
        <scheme val="minor"/>
      </rPr>
      <t xml:space="preserve">לאט </t>
    </r>
    <r>
      <rPr>
        <b/>
        <sz val="11"/>
        <color theme="1"/>
        <rFont val="Arial"/>
        <family val="2"/>
        <scheme val="minor"/>
      </rPr>
      <t>ובהדרגה  לפוזור מלא ב12 F</t>
    </r>
  </si>
  <si>
    <t>הכנס בזרם דק עד להומוגניות  בF 12 לאחר מכן הכנס אגיטן ובסיום המשך 7 דקות ערבול</t>
  </si>
  <si>
    <t xml:space="preserve">         25.7.2023-025    Fresco INTUMESCENT</t>
  </si>
  <si>
    <t>ג על פי הנחיות בבודנהיים - עם FR CROS 487 +ENCOR 2394, הגדלת TIO2 ומסמיך</t>
  </si>
  <si>
    <t xml:space="preserve">         25.7.2023-026    Fresco INTUMESCENT</t>
  </si>
  <si>
    <t xml:space="preserve">         25.7.2023-027   Fresco INTUMESCENT</t>
  </si>
  <si>
    <t>ג על פי הנחיות בבודנהיים - עם FR CROS 584 +ENCOR 2394, הגדלת TIO2 ומסמיך + 759 CROS</t>
  </si>
  <si>
    <t>ג על פי הנחיות בבודנהיים - עם FR CROS 487 +ENCOR 2394, הגדלת TIO2 ומסמיך+ 759 CROS</t>
  </si>
  <si>
    <t>FR CROS 759</t>
  </si>
  <si>
    <t xml:space="preserve">         25.7.2023-028    Fresco INTUMESCENT</t>
  </si>
  <si>
    <t>ג על פי הנחיות בבודנהיים - עם FR CROS 584 +ENCOR 2394, הגדלת TIO2 ומסמיך + FG 400/040</t>
  </si>
  <si>
    <t xml:space="preserve">            02.8.2023-029     Fresco INTUMESCENT</t>
  </si>
  <si>
    <t>על בסיס 022-   VINNAPAS EZ 3019+ קצת הגדלת  מסמיך + סיבים  Lapinus CF 10</t>
  </si>
  <si>
    <t>FG 400/040</t>
  </si>
  <si>
    <t>VINNAPAS EZ 3019</t>
  </si>
  <si>
    <t xml:space="preserve">            13.8.2023-030     Fresco INTUMESCENT</t>
  </si>
  <si>
    <t>על בסיס 022- 028   VINNAPAS EZ 3112 + סיבים FG 400/040</t>
  </si>
  <si>
    <t xml:space="preserve">           13.82023-031    Fresco INTUMESCENT</t>
  </si>
  <si>
    <t>על בסיס  023-028   ENCOR 2394  + סיבים  FG 400/040</t>
  </si>
  <si>
    <t xml:space="preserve">         13.8.2023-032    Fresco INTUMESCENT</t>
  </si>
  <si>
    <t xml:space="preserve">         13.8.2023-033   Fresco INTUMESCENT</t>
  </si>
  <si>
    <t>ג על פי הנחיות בבודנהיים - עם FEXOLIT AP435 +VINNAPAS EZ 3112, הגדלת TIO2 ומסמיך + 759 CROS</t>
  </si>
  <si>
    <t>ג על פי הנחיות בבודנהיים - עם FEXOLIT AP435 +ENCOR 2394, הגדלת TIO2 ומסמיך + 759 CROS</t>
  </si>
  <si>
    <t xml:space="preserve">            15.8.2023-035     Fresco INTUMESCENT</t>
  </si>
  <si>
    <t xml:space="preserve">            15.8.2023-034     Fresco INTUMESCENT</t>
  </si>
  <si>
    <t>על בסיס   025 32-   ENCOR 2394 הוספת CC401, עליה בטיטניום ומסמיכם  סיבים  Lapinus CF 10</t>
  </si>
  <si>
    <t>על בסיס   025 022-   VINNAPAS EZ 3112 הוספת CC401, עליה בטיטניום ומסמיכםסיבים  Lapinus CF 10</t>
  </si>
  <si>
    <t>Levasil CC401</t>
  </si>
  <si>
    <t xml:space="preserve">         21.8.2023-036    Fresco INTUMESCENT</t>
  </si>
  <si>
    <t xml:space="preserve">         21.8.2023-037    Fresco INTUMESCENT</t>
  </si>
  <si>
    <t>על פי 025 - (FR CROS 487 +ENCOR 2394)  הוספת CF10, הקטנת מלמין , PM40</t>
  </si>
  <si>
    <t>על פי 025 - (FR CROS 487 +EZ3112)  הוספת CF10, הקטנת מלמין , PM40</t>
  </si>
  <si>
    <t xml:space="preserve">         27.8.2023-038    Fresco INTUMESCENT</t>
  </si>
  <si>
    <t xml:space="preserve">         27.8.2023-039    Fresco INTUMESCENT</t>
  </si>
  <si>
    <t>על פי 037 - (FR CROS 487 +VINNAPAS EZ 3112)  ,הגדלת אמולסיה הקטנת מלמין , PM40</t>
  </si>
  <si>
    <t xml:space="preserve">         27.8.2023-040    Fresco INTUMESCENT</t>
  </si>
  <si>
    <t xml:space="preserve">         27.8.2023-041    Fresco INTUMESCENT</t>
  </si>
  <si>
    <t>על פי 037 - (EXOLIT AP435+ EZ3112)  ,הגדלת אמולסיה הקטנת מלמין , PM40</t>
  </si>
  <si>
    <t>על פי 039 - (FR CROS 487 +VINNAPAS EZ 3112)  ,הגדלת אמולסיהKronos 2160  הקטנת מלמין , PM40  ,</t>
  </si>
  <si>
    <t>KRONOS 2160</t>
  </si>
  <si>
    <t>EXOLIT AP 435</t>
  </si>
  <si>
    <t xml:space="preserve">         27.8.2023-042    Fresco INTUMESCENT</t>
  </si>
  <si>
    <t xml:space="preserve">         12.9.2023-043   Fresco INTUMESCENT</t>
  </si>
  <si>
    <t>על פי 039 - (EXOLIT AP 435 +VINNAPAS EZ 3112)  ,הגדלת אמולסיהKronos 2160  הקטנת מלמין , PM40  ,</t>
  </si>
  <si>
    <t>על פי 036 - (EXOLIT AP 435 +ENCOR 2394)  הוספת CF10, הקטנת מלמין , PM40</t>
  </si>
  <si>
    <t xml:space="preserve">            12.9.2023-044     Fresco INTUMESCENT</t>
  </si>
  <si>
    <t xml:space="preserve">            27.9.2023-046     Fresco INTUMESCENT</t>
  </si>
  <si>
    <t xml:space="preserve">על בסיס   034   VINNAPAS EZ 3112 הקטנת ל2% CC401, </t>
  </si>
  <si>
    <t>על בסיס   034 037    VINNAPAS EZ 3112 הקטנת ל2% CC401,  עם  CROS FR 487</t>
  </si>
  <si>
    <t xml:space="preserve"> CROS FR 487</t>
  </si>
  <si>
    <t xml:space="preserve">         27.9.2023-047    Fresco INTUMESCENT</t>
  </si>
  <si>
    <t xml:space="preserve">            27.9.2023-048     Fresco INTUMESCENT</t>
  </si>
  <si>
    <t>על פי 037  עם  VINNAPAS EZ 3019</t>
  </si>
  <si>
    <t xml:space="preserve">על בסיס   036    VINNAPAS EZ 3019 </t>
  </si>
  <si>
    <t xml:space="preserve">         28.9.2023-049   Fresco INTUMESCENT</t>
  </si>
  <si>
    <t xml:space="preserve">         28.9.2023-050   Fresco INTUMESCENT</t>
  </si>
  <si>
    <t>על פי 043 - (EXOLIT AP 435 +ENCOR 2394)  הקטנת מלמין, קרונוס 2160, הגדלת APP</t>
  </si>
  <si>
    <t>העל פי 043 - (EXOLIT AP 435 +VINNAPAS EZ 3112)  הקטנת מלמין, קרונוס 2160, הגדלת APP</t>
  </si>
  <si>
    <t xml:space="preserve">            07.12.2023-051     Fresco INTUMESCENT</t>
  </si>
  <si>
    <t xml:space="preserve">            07.12.2023-052     Fresco INTUMESCENT</t>
  </si>
  <si>
    <t xml:space="preserve">   על בסיס 044 043    Levasil CC401      3%   ENCOR 2394</t>
  </si>
  <si>
    <t xml:space="preserve">   על בסיס 044 043      Levasil CC401 1%     ENCOR 2394</t>
  </si>
  <si>
    <t xml:space="preserve">            12.12.2023-053     Fresco INTUMESCENT</t>
  </si>
  <si>
    <t xml:space="preserve">            12.12.2023-054     Fresco INTUMESCENT</t>
  </si>
  <si>
    <t xml:space="preserve">   על בסיס 044 043    Levasil CC401      3%    24.5%VINNAPAS EZ 3112 ללא טקסנול</t>
  </si>
  <si>
    <t xml:space="preserve">   על בסיס 044 043      Levasil CC401 1%      24.5 %VINNAPAS EZ 3112 ללא טקסנול</t>
  </si>
  <si>
    <t xml:space="preserve">            26.12.2023-055     Fresco INTUMESCENT</t>
  </si>
  <si>
    <t xml:space="preserve">            26.12.2023-056     Fresco INTUMESCENT</t>
  </si>
  <si>
    <t xml:space="preserve">   על בסיס 044  043  051  Levasil CC401      3%   ENCOR 2394   עם FR CROS 487</t>
  </si>
  <si>
    <t xml:space="preserve">   על בסיס 044 043   052   Levasil CC401 1%     ENCOR 2394 עם FR CROS 487</t>
  </si>
  <si>
    <t xml:space="preserve">           26.12.2023-057     Fresco INTUMESCENT</t>
  </si>
  <si>
    <t xml:space="preserve">            26.12.2023-058   Fresco INTUMESCENT</t>
  </si>
  <si>
    <t xml:space="preserve">   על בסיס 044 043  053   Levasil CC401      3%    24.5%VINNAPAS EZ 3019 ללא טקסנול עם FR CROS 487</t>
  </si>
  <si>
    <t xml:space="preserve">   על בסיס 044 043  054     Levasil CC401 1%      24.5 %VINNAPAS EZ 3019 ללא טקסנול</t>
  </si>
  <si>
    <t xml:space="preserve">         28.12.2023-059    Fresco INTUMESCENT</t>
  </si>
  <si>
    <t xml:space="preserve">         28.12.2023-060    Fresco INTUMESCENT</t>
  </si>
  <si>
    <t>על פי 036 - (FR CROS 487 +ENCOR 2394)  4% CF10,</t>
  </si>
  <si>
    <t>על פי 036 - (FR CROS 487 +ENCOR 2394) החלפת טקסנול ל  Enhancer 400</t>
  </si>
  <si>
    <t xml:space="preserve"> CHARMOR DP 15</t>
  </si>
  <si>
    <t>Enhancer 400</t>
  </si>
  <si>
    <t xml:space="preserve">         28.12.2023-061    Fresco INTUMESCENT</t>
  </si>
  <si>
    <t>על פי 036  043 - (EXOLIT AP435 +ENCOR 2394)  4% CF10,</t>
  </si>
  <si>
    <t xml:space="preserve">         28.12.2023-062    Fresco INTUMESCENT</t>
  </si>
  <si>
    <t>על פי 036   043- (EXOLIT AP435 +ENCOR 2394) החלפת טקסנול ל  Enhancer 400</t>
  </si>
  <si>
    <t xml:space="preserve"> CHARMOR DP 15?</t>
  </si>
  <si>
    <t xml:space="preserve">            09.01.2024-063     Fresco INTUMESCENT</t>
  </si>
  <si>
    <t xml:space="preserve">         23.01.2024-064    Fresco INTUMESCENT</t>
  </si>
  <si>
    <t xml:space="preserve">   על בסיס  036 052    Levasil CC401 1%  ENCOR 2394</t>
  </si>
  <si>
    <t>Mergal K14</t>
  </si>
  <si>
    <t xml:space="preserve">           22.02.2024-065     Fresco INTUMESCENT</t>
  </si>
  <si>
    <t xml:space="preserve">            23.01.2024-066     Fresco INTUMESCENT</t>
  </si>
  <si>
    <t xml:space="preserve">   על בסיס 055  063וסיכום ניסויי הגדלה ל 23% של  Levasil CC401 1%   ENCOR 2394   עם FR CROS 487 הגדלת אורוטן  CMIF</t>
  </si>
  <si>
    <t xml:space="preserve">   על בסיס 056 הגדלה ל24%   Levasil CC401 1%     ENCOR 2394 עם FR CROS 487</t>
  </si>
  <si>
    <t>Vinkocide CMIF</t>
  </si>
  <si>
    <t xml:space="preserve">            22.02.2024-067     Fresco INTUMESCENT</t>
  </si>
  <si>
    <t xml:space="preserve">   על בסיס  063 +065 הגדלת  23%   Levasil CC401 1.5%  ,ENCOR 2394, הגדלת אורוטן  </t>
  </si>
  <si>
    <t xml:space="preserve">           25.02.2024-068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</si>
  <si>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058</t>
    </r>
    <r>
      <rPr>
        <sz val="11"/>
        <color theme="1"/>
        <rFont val="Arial"/>
        <family val="2"/>
        <charset val="177"/>
        <scheme val="minor"/>
      </rPr>
      <t xml:space="preserve">     Levasil CC401 1%   ,  24 %VINNAPAS EZ 3019 עם טקסנול הגדלת אורוטן  ואגיטן</t>
    </r>
  </si>
  <si>
    <t xml:space="preserve">          05.03.2024-069   Fresco INTUMESCENT</t>
  </si>
  <si>
    <t xml:space="preserve">           26.02.2024-070     Fresco INTUMESCENT</t>
  </si>
  <si>
    <r>
      <t xml:space="preserve">   על בסיס   058     Levasil CC401 1.5%      24.5 %VINNAPAS EZ 3019</t>
    </r>
    <r>
      <rPr>
        <b/>
        <sz val="11"/>
        <color theme="1"/>
        <rFont val="Arial"/>
        <family val="2"/>
        <scheme val="minor"/>
      </rPr>
      <t xml:space="preserve"> עם טקסנול הגדלת אורוטן  אגיטן ווביציד אחוז מוצקים 70.5%</t>
    </r>
  </si>
  <si>
    <r>
      <t xml:space="preserve">   על בסיס 065  063וסיכום ניסויי הגדלה ל 23% של  Levasil CC401 1%   ENCOR 2394   עם FR CROS 487 הגדלת </t>
    </r>
    <r>
      <rPr>
        <b/>
        <sz val="14"/>
        <color theme="1"/>
        <rFont val="Arial"/>
        <family val="2"/>
        <scheme val="minor"/>
      </rPr>
      <t>מסמיך</t>
    </r>
    <r>
      <rPr>
        <sz val="11"/>
        <color theme="1"/>
        <rFont val="Arial"/>
        <family val="2"/>
        <charset val="177"/>
        <scheme val="minor"/>
      </rPr>
      <t xml:space="preserve"> אורוטן  CMIF</t>
    </r>
  </si>
  <si>
    <t>הכנס ללא גושים ובסיום דספרסיה 10דקות  בF 20</t>
  </si>
  <si>
    <t>הכנס ללא גושים ובסיום דספרסיה 10 דקות  בF 20</t>
  </si>
  <si>
    <t>הכנס בזרם דק עד להומוגניות  בF 20</t>
  </si>
  <si>
    <t>הכנס ללא גושים  ב F18 עליה ל F21 ובסיום דספרסיה במשך10 דקות . שים לב שלא יתחמם מידי</t>
  </si>
  <si>
    <r>
      <t>להכניס לאט ובהדרגה  ל</t>
    </r>
    <r>
      <rPr>
        <sz val="11"/>
        <color theme="1"/>
        <rFont val="Arial"/>
        <family val="2"/>
        <scheme val="minor"/>
      </rPr>
      <t>פוזור מלא ללא גושים</t>
    </r>
    <r>
      <rPr>
        <b/>
        <sz val="11"/>
        <color theme="1"/>
        <rFont val="Arial"/>
        <family val="2"/>
        <scheme val="minor"/>
      </rPr>
      <t xml:space="preserve">  ב20 F</t>
    </r>
  </si>
  <si>
    <t xml:space="preserve">            28.02.2024-071   Fresco INTUMESCENT</t>
  </si>
  <si>
    <t xml:space="preserve">          05.03.2024-072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</si>
  <si>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058</t>
    </r>
    <r>
      <rPr>
        <sz val="11"/>
        <color theme="1"/>
        <rFont val="Arial"/>
        <family val="2"/>
        <charset val="177"/>
        <scheme val="minor"/>
      </rPr>
      <t xml:space="preserve">     Levasil CC401 1%      24.5 %VINNAPAS EZ 3019 ללא טקסנול  -</t>
    </r>
    <r>
      <rPr>
        <b/>
        <sz val="11"/>
        <color theme="1"/>
        <rFont val="Arial"/>
        <family val="2"/>
        <scheme val="minor"/>
      </rPr>
      <t xml:space="preserve"> עליה במסמיך</t>
    </r>
  </si>
  <si>
    <r>
      <t xml:space="preserve">   על בסיס   058     Levasil CC401 1.%      24.4 %VINNAPAS EZ 3019</t>
    </r>
    <r>
      <rPr>
        <b/>
        <sz val="11"/>
        <color theme="1"/>
        <rFont val="Arial"/>
        <family val="2"/>
        <scheme val="minor"/>
      </rPr>
      <t xml:space="preserve"> עם טקסנול הגדלת אורוטן  אגיטן  והקטנת מוצקים ל 70.8%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</si>
  <si>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 xml:space="preserve">            07.03.2024-073   Fresco INTUMESCENT</t>
  </si>
  <si>
    <t xml:space="preserve">            10.03.2024-074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</si>
  <si>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058</t>
    </r>
    <r>
      <rPr>
        <sz val="11"/>
        <color theme="1"/>
        <rFont val="Arial"/>
        <family val="2"/>
        <charset val="177"/>
        <scheme val="minor"/>
      </rPr>
      <t xml:space="preserve">     Levasil CC401 2%      24.3 %VINNAPAS EZ 3019 עם טקסנול  -</t>
    </r>
    <r>
      <rPr>
        <b/>
        <sz val="11"/>
        <color theme="1"/>
        <rFont val="Arial"/>
        <family val="2"/>
        <scheme val="minor"/>
      </rPr>
      <t xml:space="preserve"> אין עליה במסמיך, עליה ב10 CF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</si>
  <si>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 xml:space="preserve"> 063 058</t>
    </r>
    <r>
      <rPr>
        <sz val="11"/>
        <color theme="1"/>
        <rFont val="Arial"/>
        <family val="2"/>
        <charset val="177"/>
        <scheme val="minor"/>
      </rPr>
      <t xml:space="preserve">     Levasil CC401 1%      24.5 %VINNAPAS EZ 3019 ללא טקסנול  -</t>
    </r>
    <r>
      <rPr>
        <b/>
        <sz val="11"/>
        <color theme="1"/>
        <rFont val="Arial"/>
        <family val="2"/>
        <scheme val="minor"/>
      </rPr>
      <t xml:space="preserve"> </t>
    </r>
    <r>
      <rPr>
        <sz val="11"/>
        <color theme="1"/>
        <rFont val="Arial"/>
        <family val="2"/>
        <scheme val="minor"/>
      </rPr>
      <t>עליה במסמיך הכנה</t>
    </r>
    <r>
      <rPr>
        <sz val="14"/>
        <color theme="1"/>
        <rFont val="Arial"/>
        <family val="2"/>
        <scheme val="minor"/>
      </rPr>
      <t xml:space="preserve"> בקרית גת</t>
    </r>
  </si>
  <si>
    <t>שעה, טמפר' - הערות</t>
  </si>
  <si>
    <t>הכנס חומרים לאט ופזר היטב. הפעל 5 דקות דספרסיה אחרי אורוטן ואחרי קומביזל. וודא שאין קצף לפני המעבר לשלב הבא. עבוד במהירות _______</t>
  </si>
  <si>
    <t>הכנס ללא גושים ובסיום דספרסיה 5 דקות  ב_______________</t>
  </si>
  <si>
    <t>הכנס ללא גושים ובסיום דספרסיה 5 דקות  בF_______________</t>
  </si>
  <si>
    <t>הכנס בזרם דק עד להומוגניות  ב____</t>
  </si>
  <si>
    <t>הכנס ללא גושים  ב _______  . שים לב שלא יתחמם מידי</t>
  </si>
  <si>
    <t xml:space="preserve">להכניס לאט ובהדרגה  לפוזור מלא </t>
  </si>
  <si>
    <t>הכנס ללא גושים  ב _______ ובסיום דספרסיה במשך 5 דקות . שים לב שלא יתחמם מידי</t>
  </si>
  <si>
    <t>להכניס לאט ובהדרגה במהירות נמוכה  לפוזור מלא ב______________</t>
  </si>
  <si>
    <t xml:space="preserve">            10.03.2024-075   Fresco INTUMESCENT</t>
  </si>
  <si>
    <t xml:space="preserve">           13.03.2024-076  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</si>
  <si>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 xml:space="preserve"> 063 058</t>
    </r>
    <r>
      <rPr>
        <sz val="11"/>
        <color theme="1"/>
        <rFont val="Arial"/>
        <family val="2"/>
        <charset val="177"/>
        <scheme val="minor"/>
      </rPr>
      <t xml:space="preserve">     Levasil CC401 1%      24.5 %VINNAPAS EZ 3019 ללא טקסנול  -</t>
    </r>
    <r>
      <rPr>
        <b/>
        <sz val="11"/>
        <color theme="1"/>
        <rFont val="Arial"/>
        <family val="2"/>
        <scheme val="minor"/>
      </rPr>
      <t xml:space="preserve"> עליה במסמיך</t>
    </r>
    <r>
      <rPr>
        <b/>
        <sz val="14"/>
        <color theme="1"/>
        <rFont val="Arial"/>
        <family val="2"/>
        <scheme val="minor"/>
      </rPr>
      <t xml:space="preserve"> הכנה בקרית גת</t>
    </r>
  </si>
  <si>
    <t xml:space="preserve">   על בסיס  065 -  קלזן  (ADVA)הכנה  במפלסים - מערבל גדול ישן </t>
  </si>
  <si>
    <t>Kelzan -Adva</t>
  </si>
  <si>
    <t>הכנס ללא גושים  ב F18 . שים לב שלא יתחמם מידי</t>
  </si>
  <si>
    <t>להכניס בזרם דק</t>
  </si>
  <si>
    <t>הכנס ללא גושים  ב F18 . שים לב שלא יתחמם מידי  בסיום 5 דקות דספרסיה</t>
  </si>
  <si>
    <t xml:space="preserve">להכניס לפוזור מלא </t>
  </si>
  <si>
    <t>הכנס בזרם דק עד להומוגניות  ב____  לאחר מכן  אגיטן ובסיום המשך 5 דקות ערבול</t>
  </si>
  <si>
    <t xml:space="preserve">          18.03.2024-077     Fresco INTUMESCENT</t>
  </si>
  <si>
    <t xml:space="preserve">          19.03.2024-078   Fresco INTUMESCENT</t>
  </si>
  <si>
    <t xml:space="preserve">   על בסיס 065  063 הגדלה: איגיטן 80 -  ל 23% של  Levasil CC401 1%   ENCOR 2394   עם FR CROS 487 הגדלת אורוטן  CMIF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</si>
  <si>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    Levasil CC401 1.%      24.4 %VINNAPAS EZ 3019</t>
    </r>
    <r>
      <rPr>
        <b/>
        <sz val="11"/>
        <color theme="1"/>
        <rFont val="Arial"/>
        <family val="2"/>
        <scheme val="minor"/>
      </rPr>
      <t xml:space="preserve"> עם טקסנול, TROYKYD  D704 והקטנת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</si>
  <si>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TROYKYD  D704</t>
  </si>
  <si>
    <t>הכנס ללא גושים ובסיום דספרסיה 5 דקות  בF 18 מנה  PP-1624</t>
  </si>
  <si>
    <t xml:space="preserve">          20.03.2024-079   Fresco INTUMESCENT</t>
  </si>
  <si>
    <t xml:space="preserve">          19.03.2024-080   Fresco INTUMESCENT</t>
  </si>
  <si>
    <t>הכנס ללא גושים ובסיום דספרסיה 5 דקות  בF 1 מנה ישנה</t>
  </si>
  <si>
    <t xml:space="preserve">הכנס בזרם דק עד להומוגניות  בF 15 </t>
  </si>
  <si>
    <t xml:space="preserve">הכנס בזרם דק עד להומוגניות </t>
  </si>
  <si>
    <t xml:space="preserve">          21.03.2024-081   Fresco INTUMESCENT</t>
  </si>
  <si>
    <t xml:space="preserve">         25.03.2024-082   Fresco INTUMESCENT</t>
  </si>
  <si>
    <r>
      <t xml:space="preserve">   על בסיס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 </t>
    </r>
    <r>
      <rPr>
        <b/>
        <sz val="11"/>
        <color theme="1"/>
        <rFont val="Arial"/>
        <family val="2"/>
        <scheme val="minor"/>
      </rPr>
      <t>079</t>
    </r>
    <r>
      <rPr>
        <sz val="11"/>
        <color theme="1"/>
        <rFont val="Arial"/>
        <family val="2"/>
        <charset val="177"/>
        <scheme val="minor"/>
      </rPr>
      <t xml:space="preserve">     CC401 3.%   24. % EZ 3019</t>
    </r>
    <r>
      <rPr>
        <b/>
        <sz val="11"/>
        <color theme="1"/>
        <rFont val="Arial"/>
        <family val="2"/>
        <scheme val="minor"/>
      </rPr>
      <t xml:space="preserve"> , טקסנול, TROYKYD  D704 Kelzan -Adva והקטנת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</si>
  <si>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הכנס ללא גושים ובסיום דספרסיה 5 דקות  בF 1 מנה  PP-1624</t>
  </si>
  <si>
    <t>הכנס ללא גושים ובסיום דספרסיה 5 דקות  בF 1 מנה י PP-1624</t>
  </si>
  <si>
    <t xml:space="preserve">         1.04.2024-083   Fresco INTUMESCENT</t>
  </si>
  <si>
    <t xml:space="preserve">         1.04.2024-084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</si>
  <si>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</si>
  <si>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,Kelzan -Adva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</si>
  <si>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הכנס חומרים לאט ופזר היטב.    עבוד במהירות בF5.6                  הכנס אגיטן מיד אחרי אורוטן והפעל 3 דקות דספרסיה.                  </t>
    </r>
    <r>
      <rPr>
        <b/>
        <u/>
        <sz val="12"/>
        <color theme="1"/>
        <rFont val="Arial"/>
        <family val="2"/>
        <scheme val="minor"/>
      </rPr>
      <t xml:space="preserve">וודא שאין קצף לפני המעבר לשלב הבא. </t>
    </r>
    <r>
      <rPr>
        <b/>
        <sz val="12"/>
        <color theme="1"/>
        <rFont val="Arial"/>
        <family val="2"/>
        <scheme val="minor"/>
      </rPr>
      <t xml:space="preserve">   </t>
    </r>
    <r>
      <rPr>
        <b/>
        <sz val="11"/>
        <color theme="1"/>
        <rFont val="Arial"/>
        <family val="2"/>
        <scheme val="minor"/>
      </rPr>
      <t xml:space="preserve">                             הכנס אגיטן מיד אחרי קומביזל והפעל 3 דקות דספרסיה.             </t>
    </r>
  </si>
  <si>
    <r>
      <t xml:space="preserve">הכנס חומרים לאט ופזר היטב.   עבוד במהירות בF4    הכנס אגיטן מיד אחרי אורוטן והפעל 3 דקות דספרסיה.          </t>
    </r>
    <r>
      <rPr>
        <b/>
        <u/>
        <sz val="12"/>
        <color theme="1"/>
        <rFont val="Arial"/>
        <family val="2"/>
        <scheme val="minor"/>
      </rPr>
      <t xml:space="preserve">וודא שאין קצף לפני המעבר לשלב הבא. </t>
    </r>
    <r>
      <rPr>
        <b/>
        <sz val="12"/>
        <color theme="1"/>
        <rFont val="Arial"/>
        <family val="2"/>
        <scheme val="minor"/>
      </rPr>
      <t xml:space="preserve">   </t>
    </r>
    <r>
      <rPr>
        <b/>
        <sz val="11"/>
        <color theme="1"/>
        <rFont val="Arial"/>
        <family val="2"/>
        <scheme val="minor"/>
      </rPr>
      <t xml:space="preserve">        הכנס אגיטן מיד אחרי קומביזל והפעל 3 דקות דספרסיה.             </t>
    </r>
  </si>
  <si>
    <t>וודא שאין קצף ופזר אופטגל ללא גושים</t>
  </si>
  <si>
    <t>Optigel WX</t>
  </si>
  <si>
    <t>הכנס ללא גושים ובסיום דספרסיה 2 דקות  בF 13</t>
  </si>
  <si>
    <t>הכנס ללא גושים ובסיום דספרסיה 2 דקות  בF 15</t>
  </si>
  <si>
    <t>הכנס ללא גושים ובסיום דספרסיה 2 דקות  בF 16.3 מנה  PP-1624</t>
  </si>
  <si>
    <t xml:space="preserve">הכנס בזרם דק עד להומוגניות  בF 10 </t>
  </si>
  <si>
    <t>הכנס ללא גושים  ב F16 ובסיום דספרסיה במשך 5 דקות . שים לב שלא יתחמם מידי</t>
  </si>
  <si>
    <t>הכנס בזרם דק עד להומוגניות F14</t>
  </si>
  <si>
    <t>להכניס לאט ובהדרגה  לפוזור מלא ב10.5 F</t>
  </si>
  <si>
    <t>הכנס בזרם דק עד להומוגניות  בF 18  לאחר מכן הכנס אגיטן ובסיום המשך5 דקות ערבול</t>
  </si>
  <si>
    <t xml:space="preserve">         2.04.2024-085   Fresco INTUMESCENT</t>
  </si>
  <si>
    <t xml:space="preserve">        3.04.2024-086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</si>
  <si>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70.65%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</si>
  <si>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083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</si>
  <si>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 xml:space="preserve">        1.05.2024-087   Fresco INTUMESCENT</t>
  </si>
  <si>
    <t xml:space="preserve">       5.05.2024-088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</si>
  <si>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086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</si>
  <si>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087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</si>
  <si>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מהירות</t>
  </si>
  <si>
    <t>1דקה</t>
  </si>
  <si>
    <t>3דקות</t>
  </si>
  <si>
    <t>10 דקות</t>
  </si>
  <si>
    <t>5דקות</t>
  </si>
  <si>
    <t>2דקות</t>
  </si>
  <si>
    <t>4דקות</t>
  </si>
  <si>
    <t>600  400</t>
  </si>
  <si>
    <t xml:space="preserve">       6.05.2024-089   Fresco INTUMESCENT</t>
  </si>
  <si>
    <t xml:space="preserve">       8.05.2024-090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</si>
  <si>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089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</si>
  <si>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וודא שאין קצף ופזר אופטגל ללא גושים- דספרסיה 10 דקות</t>
  </si>
  <si>
    <t xml:space="preserve">       9.05.2024-091   Fresco INTUMESCENT</t>
  </si>
  <si>
    <t xml:space="preserve">      13.06.2024-089   Fresco INTUMESCENT</t>
  </si>
  <si>
    <t>3דקה</t>
  </si>
  <si>
    <t xml:space="preserve">      1 9.05.2024-092   Fresco INTUMESCENT</t>
  </si>
  <si>
    <t xml:space="preserve">      20.05.2024-093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</si>
  <si>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091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Viscotex 730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</si>
  <si>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091</t>
    </r>
    <r>
      <rPr>
        <sz val="11"/>
        <color theme="1"/>
        <rFont val="Arial"/>
        <family val="2"/>
        <charset val="177"/>
        <scheme val="minor"/>
      </rPr>
      <t xml:space="preserve">   Levasil CC401 3.%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WX, RHEOLATE 185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</si>
  <si>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Viscotex 730</t>
  </si>
  <si>
    <t>RHEOLATE 185</t>
  </si>
  <si>
    <t xml:space="preserve">     27.06.2024-095   Fresco INTUMESCENT</t>
  </si>
  <si>
    <t xml:space="preserve">     04.06.2024-094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</si>
  <si>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087</t>
    </r>
    <r>
      <rPr>
        <sz val="11"/>
        <color theme="1"/>
        <rFont val="Arial"/>
        <family val="2"/>
        <charset val="177"/>
        <scheme val="minor"/>
      </rPr>
      <t xml:space="preserve">   Levasil CC401 2.% , 23.95 %VINNAPAS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</si>
  <si>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075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092</t>
    </r>
    <r>
      <rPr>
        <sz val="11"/>
        <color theme="1"/>
        <rFont val="Arial"/>
        <family val="2"/>
        <charset val="177"/>
        <scheme val="minor"/>
      </rPr>
      <t xml:space="preserve">   Levasil CC401 3.% , 24.2 %VINNAPAS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WX,  CF10-4%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</si>
  <si>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 xml:space="preserve">      17.06.2024-096  Fresco INTUMESCENT</t>
  </si>
  <si>
    <t xml:space="preserve">      18.06.2024-097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</si>
  <si>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089 095</t>
    </r>
    <r>
      <rPr>
        <sz val="11"/>
        <color theme="1"/>
        <rFont val="Arial"/>
        <family val="2"/>
        <charset val="177"/>
        <scheme val="minor"/>
      </rPr>
      <t xml:space="preserve">   Levasil CC401 2.% , 22 %Emultex FR 797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</si>
  <si>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089 095</t>
    </r>
    <r>
      <rPr>
        <sz val="11"/>
        <color theme="1"/>
        <rFont val="Arial"/>
        <family val="2"/>
        <charset val="177"/>
        <scheme val="minor"/>
      </rPr>
      <t xml:space="preserve">   Levasil CC401 2.% , 22 %Encor 367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</si>
  <si>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Encor 367</t>
  </si>
  <si>
    <t xml:space="preserve">      19.06.2024-098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</si>
  <si>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089 095</t>
    </r>
    <r>
      <rPr>
        <sz val="11"/>
        <color theme="1"/>
        <rFont val="Arial"/>
        <family val="2"/>
        <charset val="177"/>
        <scheme val="minor"/>
      </rPr>
      <t xml:space="preserve">   Levasil CC401 2.% , 22 %Encor 2394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</si>
  <si>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Encor 2394</t>
  </si>
  <si>
    <t xml:space="preserve">      20.06.2024-099  Fresco INTUMESCENT</t>
  </si>
  <si>
    <t xml:space="preserve">      01.07.2024-100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</si>
  <si>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095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087</t>
    </r>
    <r>
      <rPr>
        <sz val="11"/>
        <color theme="1"/>
        <rFont val="Arial"/>
        <family val="2"/>
        <charset val="177"/>
        <scheme val="minor"/>
      </rPr>
      <t xml:space="preserve">   Levasil CC401 2.% , 24.4 %VINNAPAS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,' EXOLIT AP435Optigel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</si>
  <si>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r>
      <t xml:space="preserve">   על בסיס   </t>
    </r>
    <r>
      <rPr>
        <b/>
        <sz val="11"/>
        <color theme="1"/>
        <rFont val="Arial"/>
        <family val="2"/>
        <scheme val="minor"/>
      </rPr>
      <t>095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087</t>
    </r>
    <r>
      <rPr>
        <sz val="11"/>
        <color theme="1"/>
        <rFont val="Arial"/>
        <family val="2"/>
        <charset val="177"/>
        <scheme val="minor"/>
      </rPr>
      <t xml:space="preserve">   Levasil CC401 2.% , 24.4 %VINNAPAS EZ 3019</t>
    </r>
    <r>
      <rPr>
        <b/>
        <sz val="11"/>
        <color theme="1"/>
        <rFont val="Arial"/>
        <family val="2"/>
        <scheme val="minor"/>
      </rPr>
      <t xml:space="preserve"> ,  KRONOS 2160מוצקים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</si>
  <si>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>קנווד 1-2</t>
  </si>
  <si>
    <t>קנווד1</t>
  </si>
  <si>
    <t>10דקות</t>
  </si>
  <si>
    <t>קנווד 1</t>
  </si>
  <si>
    <t xml:space="preserve">     14.08.2024-101   Fresco INTUMESCENT</t>
  </si>
  <si>
    <r>
      <t xml:space="preserve"> על בסיס </t>
    </r>
    <r>
      <rPr>
        <b/>
        <sz val="11"/>
        <color theme="1"/>
        <rFont val="Arial"/>
        <family val="2"/>
        <scheme val="minor"/>
      </rPr>
      <t>057</t>
    </r>
    <r>
      <rPr>
        <sz val="11"/>
        <color theme="1"/>
        <rFont val="Arial"/>
        <family val="2"/>
        <charset val="177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092 095</t>
    </r>
    <r>
      <rPr>
        <sz val="11"/>
        <color theme="1"/>
        <rFont val="Arial"/>
        <family val="2"/>
        <charset val="177"/>
        <scheme val="minor"/>
      </rPr>
      <t xml:space="preserve"> Levasil CC401 2.%, 23.95 %VINNAPAS EZ 3019</t>
    </r>
    <r>
      <rPr>
        <b/>
        <sz val="11"/>
        <color theme="1"/>
        <rFont val="Arial"/>
        <family val="2"/>
        <scheme val="minor"/>
      </rPr>
      <t>,</t>
    </r>
    <r>
      <rPr>
        <sz val="11"/>
        <color theme="1"/>
        <rFont val="Arial"/>
        <family val="2"/>
        <scheme val="minor"/>
      </rPr>
      <t>ל</t>
    </r>
    <r>
      <rPr>
        <b/>
        <sz val="11"/>
        <color theme="1"/>
        <rFont val="Arial"/>
        <family val="2"/>
        <scheme val="minor"/>
      </rPr>
      <t>,Optigel WX Viscotex 730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סדיקה-קנווד בסוף</t>
    </r>
  </si>
  <si>
    <t xml:space="preserve">    09.10.2024-102   Fresco INTUMESCENT</t>
  </si>
  <si>
    <r>
      <t xml:space="preserve">   על בסיס   </t>
    </r>
    <r>
      <rPr>
        <b/>
        <sz val="11"/>
        <color theme="1"/>
        <rFont val="Arial"/>
        <family val="2"/>
        <scheme val="minor"/>
      </rPr>
      <t>095 שינוי סדר הכנסה של האמולסיה</t>
    </r>
    <r>
      <rPr>
        <sz val="11"/>
        <color theme="1"/>
        <rFont val="Arial"/>
        <family val="2"/>
        <charset val="177"/>
        <scheme val="minor"/>
      </rPr>
      <t xml:space="preserve"> Levasil CC401 2.% , 23.95 %VINNAPAS EZ 3019</t>
    </r>
    <r>
      <rPr>
        <b/>
        <sz val="11"/>
        <color theme="1"/>
        <rFont val="Arial"/>
        <family val="2"/>
        <scheme val="minor"/>
      </rPr>
      <t xml:space="preserve"> , </t>
    </r>
    <r>
      <rPr>
        <sz val="11"/>
        <color theme="1"/>
        <rFont val="Arial"/>
        <family val="2"/>
        <scheme val="minor"/>
      </rPr>
      <t>טקסנול</t>
    </r>
    <r>
      <rPr>
        <b/>
        <sz val="11"/>
        <color theme="1"/>
        <rFont val="Arial"/>
        <family val="2"/>
        <scheme val="minor"/>
      </rPr>
      <t>,Optigel WX  מוצקים ל 70.5%</t>
    </r>
    <r>
      <rPr>
        <sz val="11"/>
        <color theme="1"/>
        <rFont val="Arial"/>
        <family val="2"/>
        <charset val="177"/>
        <scheme val="minor"/>
      </rPr>
      <t xml:space="preserve"> למינעת סדיקה</t>
    </r>
  </si>
  <si>
    <t xml:space="preserve">שעה - </t>
  </si>
  <si>
    <t>הערות</t>
  </si>
  <si>
    <t>2דקות למדוד חום</t>
  </si>
  <si>
    <t>5דקות בסוף מעבר לקנווד</t>
  </si>
  <si>
    <t>הכנסה לסרוגין עם קרוס, בסיום למדוד חום</t>
  </si>
  <si>
    <t>הכנס ללא גושים ובסיום דספרסיה במשך 5 דקות . שים לב שלא יתחמם מידי</t>
  </si>
  <si>
    <t xml:space="preserve">להכניס לאט ובהדרגה  לפיזור מלא </t>
  </si>
  <si>
    <t>10דקות ערבוב איטי</t>
  </si>
  <si>
    <t>קנווד 1-min</t>
  </si>
  <si>
    <t>הכנס בזרם דק עד להומוגניות   לאחר מכן הכנס אגיטן ובסיום המשך 7 דקות ערבול</t>
  </si>
  <si>
    <t xml:space="preserve">   15.10.2024-002   Fresco INTUMESCENT</t>
  </si>
  <si>
    <t xml:space="preserve">         03.02.2025-083   Fresco INTUMESCENT</t>
  </si>
  <si>
    <t xml:space="preserve">         03.02.2025-084   Fresco INTUMESCENT</t>
  </si>
  <si>
    <t xml:space="preserve">       03.02.2025-085   Fresco INTUMESCENT</t>
  </si>
  <si>
    <t xml:space="preserve">     03.02.2025-086   Fresco INTUMESCENT</t>
  </si>
  <si>
    <t xml:space="preserve">       03.02.2025-087   Fresco INTUMESCENT</t>
  </si>
  <si>
    <t xml:space="preserve">          10.04.2025-044     Fresco INTUMESCENT</t>
  </si>
  <si>
    <t xml:space="preserve">פורמולציה : </t>
  </si>
  <si>
    <t xml:space="preserve">  31.10.2022-002</t>
  </si>
  <si>
    <t xml:space="preserve">   10.11.2022-003</t>
  </si>
  <si>
    <t xml:space="preserve"> 22.11.2022-003.1  </t>
  </si>
  <si>
    <t xml:space="preserve">    23.11.2022-003.3</t>
  </si>
  <si>
    <t xml:space="preserve"> 16.11.2022-004</t>
  </si>
  <si>
    <t xml:space="preserve">   27.10.2022-001</t>
  </si>
  <si>
    <t>פורמולציה</t>
  </si>
  <si>
    <t>תאריך</t>
  </si>
  <si>
    <t>10.11.2022-003</t>
  </si>
  <si>
    <t xml:space="preserve">22.11.2022-003.2 </t>
  </si>
  <si>
    <t>בדיקות פורמולציות אינטומסנט</t>
  </si>
  <si>
    <t>הערות:</t>
  </si>
  <si>
    <t>תאריך:</t>
  </si>
  <si>
    <t>מים</t>
  </si>
  <si>
    <t>CHARMOR PM 40</t>
  </si>
  <si>
    <t xml:space="preserve"> 27.10.2022-001  </t>
  </si>
  <si>
    <t>31.10.2022-002</t>
  </si>
  <si>
    <t>סה''כ</t>
  </si>
  <si>
    <t xml:space="preserve">  22.11.2022-003.1  </t>
  </si>
  <si>
    <t xml:space="preserve"> 22.11.2022-003.2  </t>
  </si>
  <si>
    <t>כמות בפועל</t>
  </si>
  <si>
    <t xml:space="preserve">הכנס בזרם דק עד להומוגניות  בF 12 </t>
  </si>
  <si>
    <t>תאריך הכנה 2.7.23</t>
  </si>
  <si>
    <t>תאריך הכנה 3.7.23</t>
  </si>
  <si>
    <t>7:51 לבדוק אם נוצר קצף</t>
  </si>
  <si>
    <t>תאריך הכנה:3.7.23</t>
  </si>
  <si>
    <t>27.06.2023-014</t>
  </si>
  <si>
    <t>23.07.23</t>
  </si>
  <si>
    <t>21.08.23</t>
  </si>
  <si>
    <t>28.06.23-014(1)</t>
  </si>
  <si>
    <t>SPD-4</t>
  </si>
  <si>
    <t>29.06.2023-015 (הכנה2.7.23)</t>
  </si>
  <si>
    <t>29.06.2023-016 (הכנה 3.7.23)</t>
  </si>
  <si>
    <t>20.08.23</t>
  </si>
  <si>
    <t>29.06.2023-017 (הכנה 3.7.23)</t>
  </si>
  <si>
    <t xml:space="preserve"> 5 min Mix well</t>
  </si>
  <si>
    <t xml:space="preserve">  5 min Mix well</t>
  </si>
  <si>
    <t>אגיטן נכנס אחרי טקסנול 2:55</t>
  </si>
  <si>
    <t>שעה</t>
  </si>
  <si>
    <t>תאריך הכנה: 18.7.23</t>
  </si>
  <si>
    <r>
      <t xml:space="preserve">להכניס </t>
    </r>
    <r>
      <rPr>
        <b/>
        <sz val="14"/>
        <color theme="1"/>
        <rFont val="Arial"/>
        <family val="2"/>
        <scheme val="minor"/>
      </rPr>
      <t>לאט</t>
    </r>
    <r>
      <rPr>
        <b/>
        <sz val="11"/>
        <color theme="1"/>
        <rFont val="Arial"/>
        <family val="2"/>
        <scheme val="minor"/>
      </rPr>
      <t xml:space="preserve"> ובהדרגה  לפיזור מלא ב12 F</t>
    </r>
  </si>
  <si>
    <t>16.11.2022-004</t>
  </si>
  <si>
    <t>11.12.2022-005</t>
  </si>
  <si>
    <t>texanol</t>
  </si>
  <si>
    <t>11.12.2022-006</t>
  </si>
  <si>
    <t>BLR895</t>
  </si>
  <si>
    <t>11.12.2022-007</t>
  </si>
  <si>
    <t>22.12.2022-008</t>
  </si>
  <si>
    <t>25.12.2022-009</t>
  </si>
  <si>
    <t>27.12.2022-010</t>
  </si>
  <si>
    <t>03.01.2023-011</t>
  </si>
  <si>
    <t>01.02.2023-012</t>
  </si>
  <si>
    <t>14.02.2023-013</t>
  </si>
  <si>
    <t>16.02.2023-013</t>
  </si>
  <si>
    <t>28.06.2023-014(1)</t>
  </si>
  <si>
    <t>29.06.2023-015</t>
  </si>
  <si>
    <t>29.06.2023-016</t>
  </si>
  <si>
    <t>03.07.2023-017</t>
  </si>
  <si>
    <t>17.07.2023-018</t>
  </si>
  <si>
    <t>FRCROSS 584</t>
  </si>
  <si>
    <t>BINDER</t>
  </si>
  <si>
    <t>COALESCENT</t>
  </si>
  <si>
    <t>ANTI FOAM</t>
  </si>
  <si>
    <t>DISPERSANT</t>
  </si>
  <si>
    <t>THICKENERS</t>
  </si>
  <si>
    <t>ANTIBACTERIAL</t>
  </si>
  <si>
    <t>SOLVENT</t>
  </si>
  <si>
    <t>פיגמנט-טיטן דיאוקסיד</t>
  </si>
  <si>
    <t>BLOWING AGENT</t>
  </si>
  <si>
    <t>CARBON SOURCE</t>
  </si>
  <si>
    <t>ACID SOURCE</t>
  </si>
  <si>
    <t>17.07.2023-019</t>
  </si>
  <si>
    <t>15.03.2023-020</t>
  </si>
  <si>
    <t>18.07.2023-021</t>
  </si>
  <si>
    <t>LAPINUS CF 10</t>
  </si>
  <si>
    <t>CHAR REINFORCING</t>
  </si>
  <si>
    <t>19.07.2023-022</t>
  </si>
  <si>
    <t>19.07.2023-023</t>
  </si>
  <si>
    <t>26.07.2023-024</t>
  </si>
  <si>
    <t>27.07.2023-025</t>
  </si>
  <si>
    <t>FRCROSS 487</t>
  </si>
  <si>
    <t>27.07.2023-026</t>
  </si>
  <si>
    <t>FRCROSS 759</t>
  </si>
  <si>
    <t>30.07.2023-027</t>
  </si>
  <si>
    <t>30.07.2023-028</t>
  </si>
  <si>
    <t>02.08.2023-029</t>
  </si>
  <si>
    <t>16.08.2023-032</t>
  </si>
  <si>
    <t>16.08.2023-031</t>
  </si>
  <si>
    <t>16.08.2023-030</t>
  </si>
  <si>
    <t>16.08.2023-033</t>
  </si>
  <si>
    <t>22.08.2023-034</t>
  </si>
  <si>
    <t>LEVASIL  CC401</t>
  </si>
  <si>
    <t>15.08.2023-035</t>
  </si>
  <si>
    <t>21.08.2023-036</t>
  </si>
  <si>
    <t>22.08.2023-037</t>
  </si>
  <si>
    <t>27.08.2023-038</t>
  </si>
  <si>
    <t>24.08.2023-039</t>
  </si>
  <si>
    <t>27.08.2023-040</t>
  </si>
  <si>
    <t>24.08.2023-041</t>
  </si>
  <si>
    <t>27.08.2023-042</t>
  </si>
  <si>
    <t>13.09.2023-043</t>
  </si>
  <si>
    <t>14.09.2023-044</t>
  </si>
  <si>
    <t>INTERCHAR-045</t>
  </si>
  <si>
    <t>26.09.2023-046</t>
  </si>
  <si>
    <t>27.09.2023-047</t>
  </si>
  <si>
    <t>27.09.2023-048</t>
  </si>
  <si>
    <t>28.09.2023-049</t>
  </si>
  <si>
    <t>28.09.2023-050</t>
  </si>
  <si>
    <t>07.12.2023-051</t>
  </si>
  <si>
    <t>MERGAL K14</t>
  </si>
  <si>
    <t>11.12.2023-052</t>
  </si>
  <si>
    <t>11.12.2023-053</t>
  </si>
  <si>
    <t>12.12.2023-054</t>
  </si>
  <si>
    <t>26.12.2023-055</t>
  </si>
  <si>
    <t>26.12.2023-056</t>
  </si>
  <si>
    <t>27.12.2023-057</t>
  </si>
  <si>
    <t>28.12.2023-058</t>
  </si>
  <si>
    <t>28.12.2023-059</t>
  </si>
  <si>
    <t>31.12.2023-060</t>
  </si>
  <si>
    <t>ENHANCER 400</t>
  </si>
  <si>
    <t>31.12.2023-061</t>
  </si>
  <si>
    <t>CHARMOR DP15</t>
  </si>
  <si>
    <t>31.12.2023-062</t>
  </si>
  <si>
    <t>02.01.2024-036</t>
  </si>
  <si>
    <t>04.01.2024-055</t>
  </si>
  <si>
    <t>03.01.2024-056</t>
  </si>
  <si>
    <t>04.01.2024-058</t>
  </si>
  <si>
    <t>07.01.2024-058</t>
  </si>
  <si>
    <t>09.01.2024-063</t>
  </si>
  <si>
    <t>10.01.2024-063</t>
  </si>
  <si>
    <t>24.01.2024-064</t>
  </si>
  <si>
    <t>11.01.2024-063</t>
  </si>
  <si>
    <t>21.02.2024-036</t>
  </si>
  <si>
    <t>20.02.2024-043</t>
  </si>
  <si>
    <t>21.02.2024-044</t>
  </si>
  <si>
    <t>25.02.2025-065</t>
  </si>
  <si>
    <t>28.01.2024-066</t>
  </si>
  <si>
    <t>28.02.2024-068</t>
  </si>
  <si>
    <t>26.02.2024-067</t>
  </si>
  <si>
    <t>05.03.2024-069</t>
  </si>
  <si>
    <t>26.02.2024-070</t>
  </si>
  <si>
    <t>28.02.2024-071</t>
  </si>
  <si>
    <t>06.03.2024-072</t>
  </si>
  <si>
    <t>07.03.2024-073</t>
  </si>
  <si>
    <t>10.03.2024-074</t>
  </si>
  <si>
    <t>10.03.2024-075</t>
  </si>
  <si>
    <t>13.03.2024-076</t>
  </si>
  <si>
    <t>KELZAN</t>
  </si>
  <si>
    <t>18.03.2024-077</t>
  </si>
  <si>
    <t>19.03.2024-078</t>
  </si>
  <si>
    <t>TROYKYD D704</t>
  </si>
  <si>
    <t>20.03.2024-079</t>
  </si>
  <si>
    <t>20.03.2024-080</t>
  </si>
  <si>
    <t>21.03.2024-081</t>
  </si>
  <si>
    <t>25.03.2024-082</t>
  </si>
  <si>
    <t>01.04.2024-083</t>
  </si>
  <si>
    <t>OPTIGEL WX</t>
  </si>
  <si>
    <t>01.04.2024-084</t>
  </si>
  <si>
    <t>02.04.2024-085</t>
  </si>
  <si>
    <t>03.04.2024-086</t>
  </si>
  <si>
    <t>10.04.2024-087</t>
  </si>
  <si>
    <t>11.04.2024-087</t>
  </si>
  <si>
    <t>05.05.2024-088</t>
  </si>
  <si>
    <t>06.05.2024-089</t>
  </si>
  <si>
    <t>08.05.2024-090</t>
  </si>
  <si>
    <t>09.05.2024-091</t>
  </si>
  <si>
    <t>19.05.2024-092</t>
  </si>
  <si>
    <t>VISCOTEX 730</t>
  </si>
  <si>
    <t>20.05.2024-093</t>
  </si>
  <si>
    <t>04.06.2024-094</t>
  </si>
  <si>
    <t>13.06.2024-095</t>
  </si>
  <si>
    <t>17.06.2024-096</t>
  </si>
  <si>
    <t>17.06.2024-097</t>
  </si>
  <si>
    <t>19.06.2024-098</t>
  </si>
  <si>
    <t>20.06.2024-099</t>
  </si>
  <si>
    <t>01.07.2024-100</t>
  </si>
  <si>
    <t>27.06.2024-095</t>
  </si>
  <si>
    <t>28.07.2024-095</t>
  </si>
  <si>
    <t>14.08.2024-101</t>
  </si>
  <si>
    <t>09.10.2024-102</t>
  </si>
  <si>
    <t>15.10.2024-002</t>
  </si>
  <si>
    <t xml:space="preserve">מעבדה </t>
  </si>
  <si>
    <t>יצור</t>
  </si>
  <si>
    <t>27.03.2022-002</t>
  </si>
  <si>
    <t>AGITAN 381</t>
  </si>
  <si>
    <t>27.03.2022-003</t>
  </si>
  <si>
    <t>27.03.2022-004</t>
  </si>
  <si>
    <t>AGITAN 108</t>
  </si>
  <si>
    <t>27.03.2022-005</t>
  </si>
  <si>
    <t>AGITAN 109</t>
  </si>
  <si>
    <t>27.03.2022-006</t>
  </si>
  <si>
    <t>AGITAN 351</t>
  </si>
  <si>
    <t>31.03.2022-007</t>
  </si>
  <si>
    <t>KELZAN ADVA</t>
  </si>
  <si>
    <t>אחוז בפועל</t>
  </si>
  <si>
    <t>אחוז מעודכן</t>
  </si>
  <si>
    <t>5 min 1400 rpm</t>
  </si>
  <si>
    <t>1100 rpm</t>
  </si>
  <si>
    <t>ATH</t>
  </si>
  <si>
    <t xml:space="preserve">     29.05.2025-001   Fresco INTUMESCENT</t>
  </si>
  <si>
    <t>29.05.2025-001</t>
  </si>
  <si>
    <t>מיקום הכנה</t>
  </si>
  <si>
    <t>מבצע</t>
  </si>
  <si>
    <t>רחל</t>
  </si>
  <si>
    <t>אסי</t>
  </si>
  <si>
    <t>יהודה ודיקלה</t>
  </si>
  <si>
    <t>אדווה</t>
  </si>
  <si>
    <t>דויד ואריק</t>
  </si>
  <si>
    <t xml:space="preserve">     29.05.2025-002   Fresco INTUMESCENT</t>
  </si>
  <si>
    <t>OMYASPHERE 220T-FQ</t>
  </si>
  <si>
    <t>29.05.2025-002</t>
  </si>
  <si>
    <t>04.06.2025-003</t>
  </si>
  <si>
    <t xml:space="preserve">     04.06.2025-003   Fresco INTUMESCENT</t>
  </si>
  <si>
    <t>5 min דיספרסיה</t>
  </si>
  <si>
    <t>10 min דיספרסיה</t>
  </si>
  <si>
    <t>5 min עירבוב</t>
  </si>
  <si>
    <t>3 min עירבוב</t>
  </si>
  <si>
    <t>20 min עירבוב</t>
  </si>
  <si>
    <t>10 min עירבוב</t>
  </si>
  <si>
    <t xml:space="preserve"> 22.11.2022-003.3</t>
  </si>
  <si>
    <t xml:space="preserve">     05.06.2025-004   Fresco INTUMESCENT</t>
  </si>
  <si>
    <t>FR CROSS 487</t>
  </si>
  <si>
    <t>05.06.2025-004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</si>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</sst>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"/>
    <numFmt numFmtId="166" formatCode="0.000%"/>
    <numFmt numFmtId="167" formatCode="0.0%"/>
    <numFmt numFmtId="168" formatCode="0.0000%"/>
  </numFmts>
  <fonts count="11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vertAlign val="superscript"/>
      <sz val="9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u/>
      <sz val="12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2"/>
      <color theme="1"/>
      <name val="Arial"/>
      <family val="2"/>
      <charset val="177"/>
      <scheme val="minor"/>
    </font>
    <font>
      <sz val="8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63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6" fontId="0" fillId="0" borderId="1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167" fontId="0" fillId="0" borderId="1" xfId="0" applyNumberFormat="1" applyBorder="1" applyAlignment="1">
      <alignment horizontal="center"/>
    </xf>
    <xf numFmtId="168" fontId="0" fillId="0" borderId="0" xfId="0" applyNumberFormat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164" fontId="0" fillId="0" borderId="1" xfId="0" applyNumberFormat="1" applyBorder="1" applyAlignment="1">
      <alignment horizontal="right"/>
    </xf>
    <xf numFmtId="0" fontId="9" fillId="0" borderId="0" xfId="0" applyFont="1"/>
    <xf numFmtId="0" fontId="0" fillId="0" borderId="5" xfId="0" applyBorder="1"/>
    <xf numFmtId="164" fontId="0" fillId="0" borderId="1" xfId="0" applyNumberFormat="1" applyBorder="1" applyAlignment="1">
      <alignment horizontal="right" wrapText="1"/>
    </xf>
    <xf numFmtId="0" fontId="4" fillId="0" borderId="0" xfId="0" applyFont="1"/>
    <xf numFmtId="0" fontId="1" fillId="0" borderId="0" xfId="0" applyFont="1"/>
    <xf numFmtId="0" fontId="4" fillId="0" borderId="1" xfId="0" applyFont="1" applyBorder="1"/>
    <xf numFmtId="0" fontId="1" fillId="0" borderId="0" xfId="0" applyFont="1" applyAlignment="1">
      <alignment vertical="center"/>
    </xf>
    <xf numFmtId="9" fontId="0" fillId="0" borderId="1" xfId="0" applyNumberForma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/>
    </xf>
    <xf numFmtId="20" fontId="0" fillId="0" borderId="1" xfId="0" applyNumberFormat="1" applyBorder="1"/>
    <xf numFmtId="2" fontId="0" fillId="0" borderId="1" xfId="0" applyNumberFormat="1" applyBorder="1"/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0" fontId="0" fillId="0" borderId="0" xfId="0" applyBorder="1"/>
    <xf numFmtId="10" fontId="4" fillId="0" borderId="1" xfId="0" applyNumberFormat="1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6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4" borderId="6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>
      <alignment horizontal="center"/>
    </xf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 applyAlignment="1">
      <alignment horizontal="center"/>
    </xf>
    <xf numFmtId="0" fontId="0" fillId="14" borderId="1" xfId="0" applyFill="1" applyBorder="1"/>
    <xf numFmtId="0" fontId="0" fillId="14" borderId="1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9" fontId="0" fillId="15" borderId="1" xfId="0" applyNumberFormat="1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165" fontId="0" fillId="0" borderId="0" xfId="0" applyNumberFormat="1"/>
    <xf numFmtId="164" fontId="0" fillId="0" borderId="0" xfId="0" applyNumberFormat="1"/>
    <xf numFmtId="0" fontId="0" fillId="9" borderId="6" xfId="0" applyFill="1" applyBorder="1" applyAlignment="1"/>
    <xf numFmtId="0" fontId="0" fillId="12" borderId="9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5" borderId="9" xfId="0" applyFill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167" fontId="0" fillId="0" borderId="0" xfId="0" applyNumberFormat="1" applyBorder="1" applyAlignment="1">
      <alignment horizontal="center"/>
    </xf>
    <xf numFmtId="0" fontId="0" fillId="13" borderId="9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9D6399"/>
      <color rgb="FF00FFFF"/>
      <color rgb="FF33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C93E5-2C59-42B9-B408-0F0DCCA3968D}">
  <dimension ref="A1:P1631"/>
  <sheetViews>
    <sheetView rightToLeft="1" topLeftCell="B1590" zoomScale="80" zoomScaleNormal="80" workbookViewId="0">
      <selection activeCell="N1618" sqref="N1618"/>
    </sheetView>
  </sheetViews>
  <sheetFormatPr defaultRowHeight="13.8" x14ac:dyDescent="0.25"/>
  <cols>
    <col min="1" max="1" width="51.8984375" customWidth="1"/>
    <col min="2" max="2" width="10.3984375" customWidth="1"/>
    <col min="3" max="3" width="19.8984375" customWidth="1"/>
    <col min="4" max="4" width="16.69921875" customWidth="1"/>
    <col min="5" max="5" width="11.3984375" customWidth="1"/>
    <col min="6" max="6" width="9.796875" customWidth="1"/>
    <col min="7" max="7" width="9.296875" customWidth="1"/>
    <col min="9" max="9" width="42.5" customWidth="1"/>
    <col min="10" max="10" width="23.59765625" customWidth="1"/>
    <col min="11" max="11" width="20.5" customWidth="1"/>
    <col min="12" max="12" width="12.09765625" customWidth="1"/>
    <col min="13" max="13" width="14.19921875" customWidth="1"/>
    <col min="14" max="14" width="9.8984375" customWidth="1"/>
  </cols>
  <sheetData>
    <row r="1" spans="1:12" x14ac:dyDescent="0.25">
      <c r="A1" s="54" t="s">
        <v>0</v>
      </c>
      <c r="B1" s="54"/>
      <c r="C1" s="54"/>
      <c r="D1" s="54"/>
      <c r="E1" s="54"/>
      <c r="H1" s="54"/>
      <c r="I1" s="54"/>
      <c r="K1" s="54"/>
      <c r="L1" s="54"/>
    </row>
    <row r="2" spans="1:12" x14ac:dyDescent="0.25">
      <c r="A2" s="2"/>
      <c r="B2" s="2"/>
      <c r="C2" s="2"/>
      <c r="D2" s="2"/>
      <c r="E2" s="2"/>
    </row>
    <row r="3" spans="1:12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G3" s="131" t="s">
        <v>571</v>
      </c>
      <c r="H3" s="3" t="s">
        <v>570</v>
      </c>
      <c r="K3" s="2"/>
    </row>
    <row r="4" spans="1:12" ht="14.25" customHeight="1" x14ac:dyDescent="0.25">
      <c r="A4" s="55" t="s">
        <v>9</v>
      </c>
      <c r="B4" s="4" t="s">
        <v>10</v>
      </c>
      <c r="C4" s="4" t="s">
        <v>10</v>
      </c>
      <c r="D4" s="5">
        <v>0.19042870000000001</v>
      </c>
      <c r="E4" s="6">
        <f t="shared" ref="E4:E12" si="0">(E$13*D4)</f>
        <v>190.42869999999999</v>
      </c>
      <c r="G4" s="4">
        <f>(H4*100)/H$13</f>
        <v>19.042871385842474</v>
      </c>
      <c r="H4" s="4">
        <v>19.100000000000001</v>
      </c>
      <c r="K4" s="2"/>
    </row>
    <row r="5" spans="1:12" ht="14.25" customHeight="1" x14ac:dyDescent="0.25">
      <c r="A5" s="56"/>
      <c r="B5" s="4" t="s">
        <v>12</v>
      </c>
      <c r="C5" s="4" t="s">
        <v>13</v>
      </c>
      <c r="D5" s="5">
        <v>1.99402E-3</v>
      </c>
      <c r="E5" s="6">
        <f t="shared" si="0"/>
        <v>1.9940199999999999</v>
      </c>
      <c r="G5" s="4">
        <f t="shared" ref="G5:G12" si="1">(H5*100)/H$13</f>
        <v>0.19940179461615154</v>
      </c>
      <c r="H5" s="4">
        <v>0.2</v>
      </c>
      <c r="K5" s="2"/>
    </row>
    <row r="6" spans="1:12" ht="14.25" customHeight="1" x14ac:dyDescent="0.25">
      <c r="A6" s="8" t="s">
        <v>15</v>
      </c>
      <c r="B6" s="9" t="s">
        <v>16</v>
      </c>
      <c r="C6" s="4" t="s">
        <v>17</v>
      </c>
      <c r="D6" s="5">
        <v>1.99402E-3</v>
      </c>
      <c r="E6" s="6">
        <f t="shared" si="0"/>
        <v>1.9940199999999999</v>
      </c>
      <c r="G6" s="4">
        <f t="shared" si="1"/>
        <v>0.19940179461615154</v>
      </c>
      <c r="H6" s="4">
        <v>0.2</v>
      </c>
      <c r="K6" s="2"/>
    </row>
    <row r="7" spans="1:12" ht="14.25" customHeight="1" x14ac:dyDescent="0.25">
      <c r="A7" s="10"/>
      <c r="B7" s="9" t="s">
        <v>19</v>
      </c>
      <c r="C7" s="4" t="s">
        <v>20</v>
      </c>
      <c r="D7" s="5">
        <v>2.99103E-3</v>
      </c>
      <c r="E7" s="6">
        <f t="shared" si="0"/>
        <v>2.9910299999999999</v>
      </c>
      <c r="G7" s="4">
        <f t="shared" si="1"/>
        <v>0.29910269192422734</v>
      </c>
      <c r="H7" s="4">
        <v>0.3</v>
      </c>
      <c r="K7" s="2"/>
    </row>
    <row r="8" spans="1:12" x14ac:dyDescent="0.25">
      <c r="A8" s="8" t="s">
        <v>22</v>
      </c>
      <c r="B8" s="9" t="s">
        <v>23</v>
      </c>
      <c r="C8" s="11" t="s">
        <v>24</v>
      </c>
      <c r="D8" s="5">
        <v>0.105683</v>
      </c>
      <c r="E8" s="6">
        <f t="shared" si="0"/>
        <v>105.68299999999999</v>
      </c>
      <c r="G8" s="4">
        <f t="shared" si="1"/>
        <v>10.568295114656031</v>
      </c>
      <c r="H8" s="4">
        <v>10.6</v>
      </c>
      <c r="K8" s="2"/>
    </row>
    <row r="9" spans="1:12" ht="14.25" customHeight="1" x14ac:dyDescent="0.25">
      <c r="A9" s="8" t="s">
        <v>26</v>
      </c>
      <c r="B9" s="9" t="s">
        <v>27</v>
      </c>
      <c r="C9" s="4" t="s">
        <v>28</v>
      </c>
      <c r="D9" s="5">
        <v>0.105683</v>
      </c>
      <c r="E9" s="6">
        <f t="shared" si="0"/>
        <v>105.68299999999999</v>
      </c>
      <c r="G9" s="4">
        <f t="shared" si="1"/>
        <v>10.568295114656031</v>
      </c>
      <c r="H9" s="4">
        <v>10.6</v>
      </c>
      <c r="K9" s="2"/>
    </row>
    <row r="10" spans="1:12" ht="14.25" customHeight="1" x14ac:dyDescent="0.25">
      <c r="A10" s="8" t="s">
        <v>26</v>
      </c>
      <c r="B10" s="9" t="s">
        <v>30</v>
      </c>
      <c r="C10" s="4" t="s">
        <v>31</v>
      </c>
      <c r="D10" s="5">
        <v>0.105683</v>
      </c>
      <c r="E10" s="6">
        <f t="shared" si="0"/>
        <v>105.68299999999999</v>
      </c>
      <c r="G10" s="4">
        <f t="shared" si="1"/>
        <v>10.568295114656031</v>
      </c>
      <c r="H10" s="4">
        <v>10.6</v>
      </c>
    </row>
    <row r="11" spans="1:12" ht="14.25" customHeight="1" x14ac:dyDescent="0.25">
      <c r="A11" s="8"/>
      <c r="B11" s="9" t="s">
        <v>32</v>
      </c>
      <c r="C11" s="9" t="s">
        <v>32</v>
      </c>
      <c r="D11" s="5">
        <v>0.27417750000000002</v>
      </c>
      <c r="E11" s="6">
        <f t="shared" si="0"/>
        <v>274.17750000000001</v>
      </c>
      <c r="G11" s="4">
        <f t="shared" si="1"/>
        <v>27.417746759720838</v>
      </c>
      <c r="H11" s="4">
        <v>27.5</v>
      </c>
    </row>
    <row r="12" spans="1:12" ht="14.25" customHeight="1" x14ac:dyDescent="0.25">
      <c r="A12" s="8" t="s">
        <v>33</v>
      </c>
      <c r="B12" s="9" t="s">
        <v>34</v>
      </c>
      <c r="C12" s="4" t="s">
        <v>35</v>
      </c>
      <c r="D12" s="5">
        <v>0.2113659</v>
      </c>
      <c r="E12" s="6">
        <f t="shared" si="0"/>
        <v>211.36589999999998</v>
      </c>
      <c r="G12" s="4">
        <f t="shared" si="1"/>
        <v>21.136590229312063</v>
      </c>
      <c r="H12" s="4">
        <v>21.2</v>
      </c>
    </row>
    <row r="13" spans="1:12" x14ac:dyDescent="0.25">
      <c r="A13" s="2"/>
      <c r="B13" s="12"/>
      <c r="C13" s="2"/>
      <c r="D13" s="13">
        <f>SUM(D4:D12)</f>
        <v>1.0000001699999999</v>
      </c>
      <c r="E13" s="2">
        <v>1000</v>
      </c>
      <c r="G13" s="4">
        <f>SUM(G4:G12)</f>
        <v>100</v>
      </c>
      <c r="H13" s="4">
        <f>SUM(H4:H12)</f>
        <v>100.3</v>
      </c>
    </row>
    <row r="14" spans="1:12" x14ac:dyDescent="0.25">
      <c r="A14" s="2"/>
      <c r="B14" s="2"/>
      <c r="C14" s="2"/>
      <c r="D14" s="13"/>
      <c r="E14" s="2"/>
      <c r="H14" s="2"/>
    </row>
    <row r="15" spans="1:12" x14ac:dyDescent="0.25">
      <c r="A15" s="2" t="s">
        <v>36</v>
      </c>
      <c r="B15" s="2"/>
      <c r="C15" s="2"/>
      <c r="D15" s="2"/>
      <c r="E15" s="2"/>
      <c r="H15" s="2"/>
    </row>
    <row r="16" spans="1:12" x14ac:dyDescent="0.25">
      <c r="A16" s="2"/>
      <c r="B16" s="2"/>
      <c r="C16" s="2"/>
      <c r="D16" s="2"/>
      <c r="E16" s="2"/>
      <c r="H16" s="2"/>
    </row>
    <row r="17" spans="1:12" x14ac:dyDescent="0.25">
      <c r="A17" s="2"/>
      <c r="B17" s="2"/>
      <c r="C17" s="2"/>
      <c r="D17" s="2"/>
      <c r="E17" s="2"/>
      <c r="H17" s="2"/>
    </row>
    <row r="18" spans="1:12" x14ac:dyDescent="0.25">
      <c r="A18" s="2"/>
      <c r="B18" s="2"/>
      <c r="C18" s="2"/>
      <c r="D18" s="2"/>
      <c r="E18" s="2"/>
      <c r="H18" s="2"/>
    </row>
    <row r="19" spans="1:12" x14ac:dyDescent="0.25">
      <c r="H19" s="2"/>
    </row>
    <row r="20" spans="1:12" x14ac:dyDescent="0.25">
      <c r="H20" s="2"/>
    </row>
    <row r="21" spans="1:12" x14ac:dyDescent="0.25">
      <c r="A21" s="54" t="s">
        <v>37</v>
      </c>
      <c r="B21" s="54"/>
      <c r="C21" s="54"/>
      <c r="D21" s="54"/>
      <c r="E21" s="54"/>
    </row>
    <row r="22" spans="1:12" x14ac:dyDescent="0.25">
      <c r="A22" s="2"/>
      <c r="B22" s="2"/>
      <c r="C22" s="2"/>
      <c r="D22" s="2"/>
      <c r="E22" s="2"/>
      <c r="H22" s="54"/>
      <c r="I22" s="54"/>
    </row>
    <row r="23" spans="1:12" x14ac:dyDescent="0.25">
      <c r="A23" s="3" t="s">
        <v>3</v>
      </c>
      <c r="B23" s="3" t="s">
        <v>4</v>
      </c>
      <c r="C23" s="3" t="s">
        <v>5</v>
      </c>
      <c r="D23" s="3" t="s">
        <v>6</v>
      </c>
      <c r="E23" s="3" t="s">
        <v>7</v>
      </c>
      <c r="G23" s="131" t="s">
        <v>571</v>
      </c>
      <c r="H23" s="3" t="s">
        <v>570</v>
      </c>
      <c r="K23" s="54"/>
      <c r="L23" s="54"/>
    </row>
    <row r="24" spans="1:12" x14ac:dyDescent="0.25">
      <c r="A24" s="55" t="s">
        <v>40</v>
      </c>
      <c r="B24" s="4" t="s">
        <v>10</v>
      </c>
      <c r="C24" s="3" t="s">
        <v>10</v>
      </c>
      <c r="D24" s="5">
        <v>0.19081999999999999</v>
      </c>
      <c r="E24" s="6">
        <f t="shared" ref="E24:E32" si="2">(E$13*D24)</f>
        <v>190.82</v>
      </c>
      <c r="G24" s="4">
        <f>(H24*100)/H$33</f>
        <v>19.082751744765705</v>
      </c>
      <c r="H24" s="4">
        <v>19.14</v>
      </c>
    </row>
    <row r="25" spans="1:12" x14ac:dyDescent="0.25">
      <c r="A25" s="56"/>
      <c r="B25" s="4" t="s">
        <v>12</v>
      </c>
      <c r="C25" s="3" t="s">
        <v>13</v>
      </c>
      <c r="D25" s="5">
        <v>1.9940000000000001E-3</v>
      </c>
      <c r="E25" s="6">
        <f t="shared" si="2"/>
        <v>1.9940000000000002</v>
      </c>
      <c r="G25" s="4">
        <f t="shared" ref="G25:G32" si="3">(H25*100)/H$33</f>
        <v>0.15952143569292124</v>
      </c>
      <c r="H25" s="4">
        <v>0.16</v>
      </c>
    </row>
    <row r="26" spans="1:12" x14ac:dyDescent="0.25">
      <c r="A26" s="57"/>
      <c r="B26" s="9" t="s">
        <v>16</v>
      </c>
      <c r="C26" s="3" t="s">
        <v>17</v>
      </c>
      <c r="D26" s="5">
        <v>1.5900000000000001E-3</v>
      </c>
      <c r="E26" s="6">
        <f t="shared" si="2"/>
        <v>1.59</v>
      </c>
      <c r="G26" s="4">
        <f t="shared" si="3"/>
        <v>0.19940179461615154</v>
      </c>
      <c r="H26" s="4">
        <v>0.2</v>
      </c>
    </row>
    <row r="27" spans="1:12" x14ac:dyDescent="0.25">
      <c r="A27" s="10"/>
      <c r="B27" s="9" t="s">
        <v>19</v>
      </c>
      <c r="C27" s="3" t="s">
        <v>20</v>
      </c>
      <c r="D27" s="5">
        <v>2.99E-3</v>
      </c>
      <c r="E27" s="6">
        <f t="shared" si="2"/>
        <v>2.99</v>
      </c>
      <c r="G27" s="4">
        <f t="shared" si="3"/>
        <v>0.29910269192422734</v>
      </c>
      <c r="H27" s="4">
        <v>0.3</v>
      </c>
    </row>
    <row r="28" spans="1:12" x14ac:dyDescent="0.25">
      <c r="A28" s="10" t="s">
        <v>22</v>
      </c>
      <c r="B28" s="9" t="s">
        <v>23</v>
      </c>
      <c r="C28" s="3" t="s">
        <v>24</v>
      </c>
      <c r="D28" s="5">
        <v>0.10568</v>
      </c>
      <c r="E28" s="6">
        <f t="shared" si="2"/>
        <v>105.67999999999999</v>
      </c>
      <c r="G28" s="4">
        <f t="shared" si="3"/>
        <v>10.568295114656031</v>
      </c>
      <c r="H28" s="4">
        <v>10.6</v>
      </c>
    </row>
    <row r="29" spans="1:12" x14ac:dyDescent="0.25">
      <c r="A29" s="8" t="s">
        <v>41</v>
      </c>
      <c r="B29" s="9" t="s">
        <v>27</v>
      </c>
      <c r="C29" s="3" t="s">
        <v>28</v>
      </c>
      <c r="D29" s="5">
        <v>0.10568</v>
      </c>
      <c r="E29" s="6">
        <f t="shared" si="2"/>
        <v>105.67999999999999</v>
      </c>
      <c r="G29" s="4">
        <f t="shared" si="3"/>
        <v>10.568295114656031</v>
      </c>
      <c r="H29" s="4">
        <v>10.6</v>
      </c>
    </row>
    <row r="30" spans="1:12" x14ac:dyDescent="0.25">
      <c r="A30" s="8" t="s">
        <v>42</v>
      </c>
      <c r="B30" s="9" t="s">
        <v>30</v>
      </c>
      <c r="C30" s="3" t="s">
        <v>30</v>
      </c>
      <c r="D30" s="5">
        <v>0.10568</v>
      </c>
      <c r="E30" s="6">
        <f t="shared" si="2"/>
        <v>105.67999999999999</v>
      </c>
      <c r="G30" s="4">
        <f t="shared" si="3"/>
        <v>10.568295114656031</v>
      </c>
      <c r="H30" s="4">
        <v>10.6</v>
      </c>
    </row>
    <row r="31" spans="1:12" x14ac:dyDescent="0.25">
      <c r="A31" s="8" t="s">
        <v>43</v>
      </c>
      <c r="B31" s="9" t="s">
        <v>32</v>
      </c>
      <c r="C31" s="15" t="s">
        <v>32</v>
      </c>
      <c r="D31" s="5">
        <v>0.274177</v>
      </c>
      <c r="E31" s="6">
        <f t="shared" si="2"/>
        <v>274.17700000000002</v>
      </c>
      <c r="G31" s="4">
        <f t="shared" si="3"/>
        <v>27.417746759720838</v>
      </c>
      <c r="H31" s="4">
        <v>27.5</v>
      </c>
    </row>
    <row r="32" spans="1:12" x14ac:dyDescent="0.25">
      <c r="A32" s="8" t="s">
        <v>43</v>
      </c>
      <c r="B32" s="9" t="s">
        <v>34</v>
      </c>
      <c r="C32" s="3" t="s">
        <v>35</v>
      </c>
      <c r="D32" s="5">
        <v>0.21135999999999999</v>
      </c>
      <c r="E32" s="6">
        <f t="shared" si="2"/>
        <v>211.35999999999999</v>
      </c>
      <c r="G32" s="4">
        <f t="shared" si="3"/>
        <v>21.136590229312063</v>
      </c>
      <c r="H32" s="4">
        <v>21.2</v>
      </c>
    </row>
    <row r="33" spans="1:16" x14ac:dyDescent="0.25">
      <c r="A33" s="2"/>
      <c r="B33" s="12"/>
      <c r="C33" s="2"/>
      <c r="D33" s="13">
        <f>SUM(D24:D32)</f>
        <v>0.99997099999999994</v>
      </c>
      <c r="E33" s="2">
        <v>1000</v>
      </c>
      <c r="G33" s="4">
        <f>SUM(G24:G32)</f>
        <v>100</v>
      </c>
      <c r="H33" s="4">
        <f>SUM(H24:H32)</f>
        <v>100.3</v>
      </c>
    </row>
    <row r="34" spans="1:16" x14ac:dyDescent="0.25">
      <c r="A34" s="14" t="s">
        <v>39</v>
      </c>
      <c r="E34" s="2"/>
    </row>
    <row r="39" spans="1:16" x14ac:dyDescent="0.25">
      <c r="A39" s="54" t="s">
        <v>44</v>
      </c>
      <c r="B39" s="54"/>
      <c r="C39" s="54"/>
      <c r="D39" s="54"/>
      <c r="E39" s="54"/>
      <c r="H39" s="54"/>
      <c r="I39" s="54"/>
      <c r="K39" s="54"/>
      <c r="L39" s="54"/>
      <c r="M39" s="54"/>
      <c r="N39" s="54"/>
      <c r="O39" s="54"/>
      <c r="P39" s="54"/>
    </row>
    <row r="40" spans="1:16" x14ac:dyDescent="0.25">
      <c r="A40" s="2"/>
      <c r="B40" s="2"/>
      <c r="C40" s="2"/>
      <c r="D40" s="2"/>
      <c r="E40" s="2"/>
      <c r="H40" s="14"/>
      <c r="K40" s="2"/>
      <c r="M40" s="2"/>
      <c r="O40" s="2"/>
    </row>
    <row r="41" spans="1:16" x14ac:dyDescent="0.25">
      <c r="A41" s="3" t="s">
        <v>3</v>
      </c>
      <c r="B41" s="3" t="s">
        <v>4</v>
      </c>
      <c r="C41" s="3" t="s">
        <v>5</v>
      </c>
      <c r="D41" s="3" t="s">
        <v>6</v>
      </c>
      <c r="E41" s="3" t="s">
        <v>7</v>
      </c>
      <c r="H41" s="58"/>
      <c r="I41" s="58"/>
      <c r="K41" s="2"/>
      <c r="M41" s="2"/>
      <c r="O41" s="2"/>
    </row>
    <row r="42" spans="1:16" ht="14.25" customHeight="1" x14ac:dyDescent="0.25">
      <c r="A42" s="55" t="s">
        <v>49</v>
      </c>
      <c r="B42" s="4" t="s">
        <v>10</v>
      </c>
      <c r="C42" s="4" t="s">
        <v>10</v>
      </c>
      <c r="D42" s="5">
        <v>0.18801999999999999</v>
      </c>
      <c r="E42" s="6">
        <f t="shared" ref="E42:E51" si="4">(E$52*D42)</f>
        <v>188.01999999999998</v>
      </c>
      <c r="K42" s="2"/>
      <c r="M42" s="2"/>
      <c r="O42" s="2"/>
    </row>
    <row r="43" spans="1:16" ht="14.25" customHeight="1" x14ac:dyDescent="0.25">
      <c r="A43" s="56"/>
      <c r="B43" s="4" t="s">
        <v>12</v>
      </c>
      <c r="C43" s="4" t="s">
        <v>13</v>
      </c>
      <c r="D43" s="5">
        <v>1.596E-3</v>
      </c>
      <c r="E43" s="6">
        <f t="shared" si="4"/>
        <v>1.5960000000000001</v>
      </c>
      <c r="K43" s="2"/>
      <c r="M43" s="2"/>
      <c r="O43" s="2"/>
    </row>
    <row r="44" spans="1:16" ht="14.25" customHeight="1" x14ac:dyDescent="0.25">
      <c r="A44" s="55" t="s">
        <v>50</v>
      </c>
      <c r="B44" s="9" t="s">
        <v>16</v>
      </c>
      <c r="C44" s="4" t="s">
        <v>51</v>
      </c>
      <c r="D44" s="5">
        <v>9.9799999999999997E-4</v>
      </c>
      <c r="E44" s="6">
        <f t="shared" si="4"/>
        <v>0.998</v>
      </c>
      <c r="K44" s="2"/>
      <c r="M44" s="2"/>
      <c r="O44" s="2"/>
    </row>
    <row r="45" spans="1:16" ht="15" customHeight="1" x14ac:dyDescent="0.25">
      <c r="A45" s="57"/>
      <c r="B45" s="9" t="s">
        <v>19</v>
      </c>
      <c r="C45" s="4" t="s">
        <v>52</v>
      </c>
      <c r="D45" s="5">
        <v>2.9940000000000001E-3</v>
      </c>
      <c r="E45" s="6">
        <f t="shared" si="4"/>
        <v>2.9940000000000002</v>
      </c>
      <c r="K45" s="2"/>
      <c r="M45" s="2"/>
      <c r="O45" s="2"/>
    </row>
    <row r="46" spans="1:16" ht="15" customHeight="1" x14ac:dyDescent="0.25">
      <c r="A46" s="8"/>
      <c r="B46" s="9" t="s">
        <v>19</v>
      </c>
      <c r="C46" s="4" t="s">
        <v>20</v>
      </c>
      <c r="D46" s="5">
        <v>2.9940000000000001E-3</v>
      </c>
      <c r="E46" s="6">
        <f t="shared" si="4"/>
        <v>2.9940000000000002</v>
      </c>
      <c r="K46" s="2"/>
      <c r="M46" s="2"/>
      <c r="O46" s="2"/>
    </row>
    <row r="47" spans="1:16" x14ac:dyDescent="0.25">
      <c r="A47" s="8" t="s">
        <v>53</v>
      </c>
      <c r="B47" s="9" t="s">
        <v>23</v>
      </c>
      <c r="C47" s="11" t="s">
        <v>23</v>
      </c>
      <c r="D47" s="5">
        <v>0.10578</v>
      </c>
      <c r="E47" s="6">
        <f t="shared" si="4"/>
        <v>105.78</v>
      </c>
    </row>
    <row r="48" spans="1:16" x14ac:dyDescent="0.25">
      <c r="A48" s="8"/>
      <c r="B48" s="9" t="s">
        <v>27</v>
      </c>
      <c r="C48" s="4" t="s">
        <v>28</v>
      </c>
      <c r="D48" s="5">
        <v>0.10578</v>
      </c>
      <c r="E48" s="6">
        <f t="shared" si="4"/>
        <v>105.78</v>
      </c>
    </row>
    <row r="49" spans="1:9" x14ac:dyDescent="0.25">
      <c r="A49" s="8"/>
      <c r="B49" s="9" t="s">
        <v>30</v>
      </c>
      <c r="C49" s="4" t="s">
        <v>30</v>
      </c>
      <c r="D49" s="5">
        <v>0.10578</v>
      </c>
      <c r="E49" s="6">
        <f t="shared" si="4"/>
        <v>105.78</v>
      </c>
    </row>
    <row r="50" spans="1:9" x14ac:dyDescent="0.25">
      <c r="A50" s="8"/>
      <c r="B50" s="9" t="s">
        <v>32</v>
      </c>
      <c r="C50" s="9" t="s">
        <v>32</v>
      </c>
      <c r="D50" s="5">
        <v>0.27445000000000003</v>
      </c>
      <c r="E50" s="6">
        <f t="shared" si="4"/>
        <v>274.45000000000005</v>
      </c>
    </row>
    <row r="51" spans="1:9" x14ac:dyDescent="0.25">
      <c r="A51" s="16"/>
      <c r="B51" s="9" t="s">
        <v>34</v>
      </c>
      <c r="C51" s="4" t="s">
        <v>35</v>
      </c>
      <c r="D51" s="5">
        <v>0.21157000000000001</v>
      </c>
      <c r="E51" s="6">
        <f t="shared" si="4"/>
        <v>211.57000000000002</v>
      </c>
    </row>
    <row r="52" spans="1:9" x14ac:dyDescent="0.25">
      <c r="A52" s="2"/>
      <c r="B52" s="12"/>
      <c r="C52" s="2"/>
      <c r="D52" s="13">
        <f>SUM(D42:D51)</f>
        <v>0.99996200000000002</v>
      </c>
      <c r="E52" s="2">
        <v>1000</v>
      </c>
    </row>
    <row r="53" spans="1:9" x14ac:dyDescent="0.25">
      <c r="A53" s="2"/>
      <c r="B53" s="2"/>
      <c r="C53" s="2"/>
      <c r="D53" s="13"/>
      <c r="E53" s="2"/>
    </row>
    <row r="56" spans="1:9" x14ac:dyDescent="0.25">
      <c r="A56" s="54" t="s">
        <v>54</v>
      </c>
      <c r="B56" s="54"/>
      <c r="C56" s="54"/>
      <c r="D56" s="54"/>
      <c r="E56" s="54"/>
      <c r="H56" s="54"/>
      <c r="I56" s="54"/>
    </row>
    <row r="57" spans="1:9" x14ac:dyDescent="0.25">
      <c r="A57" s="2"/>
      <c r="B57" s="2"/>
      <c r="C57" s="2"/>
      <c r="D57" s="2"/>
      <c r="E57" s="2"/>
    </row>
    <row r="58" spans="1:9" x14ac:dyDescent="0.25">
      <c r="A58" s="3" t="s">
        <v>3</v>
      </c>
      <c r="B58" s="3" t="s">
        <v>4</v>
      </c>
      <c r="C58" s="3" t="s">
        <v>5</v>
      </c>
      <c r="D58" s="3" t="s">
        <v>6</v>
      </c>
      <c r="E58" s="3" t="s">
        <v>7</v>
      </c>
      <c r="H58" s="2"/>
    </row>
    <row r="59" spans="1:9" ht="14.25" customHeight="1" x14ac:dyDescent="0.25">
      <c r="A59" s="55"/>
      <c r="B59" s="4" t="s">
        <v>10</v>
      </c>
      <c r="C59" s="4" t="s">
        <v>10</v>
      </c>
      <c r="D59" s="5">
        <v>0.18801999999999999</v>
      </c>
      <c r="E59" s="6">
        <f t="shared" ref="E59:E68" si="5">(E$52*D59)</f>
        <v>188.01999999999998</v>
      </c>
      <c r="H59" s="2"/>
    </row>
    <row r="60" spans="1:9" ht="14.25" customHeight="1" x14ac:dyDescent="0.25">
      <c r="A60" s="56"/>
      <c r="B60" s="4" t="s">
        <v>12</v>
      </c>
      <c r="C60" s="4" t="s">
        <v>13</v>
      </c>
      <c r="D60" s="5">
        <v>1.5900000000000001E-3</v>
      </c>
      <c r="E60" s="6">
        <f t="shared" si="5"/>
        <v>1.59</v>
      </c>
      <c r="H60" s="2"/>
    </row>
    <row r="61" spans="1:9" ht="14.25" customHeight="1" x14ac:dyDescent="0.25">
      <c r="A61" s="56"/>
      <c r="B61" s="9" t="s">
        <v>16</v>
      </c>
      <c r="C61" s="4" t="s">
        <v>51</v>
      </c>
      <c r="D61" s="5">
        <v>9.9799999999999997E-4</v>
      </c>
      <c r="E61" s="6">
        <f t="shared" si="5"/>
        <v>0.998</v>
      </c>
      <c r="H61" s="2"/>
    </row>
    <row r="62" spans="1:9" ht="14.25" customHeight="1" x14ac:dyDescent="0.25">
      <c r="A62" s="57"/>
      <c r="B62" s="9" t="s">
        <v>19</v>
      </c>
      <c r="C62" s="4" t="s">
        <v>52</v>
      </c>
      <c r="D62" s="5">
        <v>2.99E-3</v>
      </c>
      <c r="E62" s="6">
        <f t="shared" si="5"/>
        <v>2.99</v>
      </c>
      <c r="H62" s="2"/>
    </row>
    <row r="63" spans="1:9" x14ac:dyDescent="0.25">
      <c r="A63" s="8"/>
      <c r="B63" s="9" t="s">
        <v>19</v>
      </c>
      <c r="C63" s="4" t="s">
        <v>20</v>
      </c>
      <c r="D63" s="5">
        <v>2.99E-3</v>
      </c>
      <c r="E63" s="6">
        <f t="shared" si="5"/>
        <v>2.99</v>
      </c>
      <c r="H63" s="2"/>
    </row>
    <row r="64" spans="1:9" x14ac:dyDescent="0.25">
      <c r="A64" s="8"/>
      <c r="B64" s="9" t="s">
        <v>23</v>
      </c>
      <c r="C64" s="11" t="s">
        <v>23</v>
      </c>
      <c r="D64" s="5">
        <v>0.10578799999999999</v>
      </c>
      <c r="E64" s="6">
        <f t="shared" si="5"/>
        <v>105.788</v>
      </c>
      <c r="H64" s="2"/>
    </row>
    <row r="65" spans="1:9" x14ac:dyDescent="0.25">
      <c r="A65" s="8"/>
      <c r="B65" s="9" t="s">
        <v>27</v>
      </c>
      <c r="C65" s="4" t="s">
        <v>28</v>
      </c>
      <c r="D65" s="5">
        <v>0.10578</v>
      </c>
      <c r="E65" s="6">
        <f t="shared" si="5"/>
        <v>105.78</v>
      </c>
      <c r="H65" s="2"/>
    </row>
    <row r="66" spans="1:9" x14ac:dyDescent="0.25">
      <c r="A66" s="8"/>
      <c r="B66" s="9" t="s">
        <v>30</v>
      </c>
      <c r="C66" s="4" t="s">
        <v>30</v>
      </c>
      <c r="D66" s="5">
        <v>0.10578</v>
      </c>
      <c r="E66" s="6">
        <f t="shared" si="5"/>
        <v>105.78</v>
      </c>
      <c r="H66" s="2"/>
    </row>
    <row r="67" spans="1:9" x14ac:dyDescent="0.25">
      <c r="A67" s="8"/>
      <c r="B67" s="9" t="s">
        <v>32</v>
      </c>
      <c r="C67" s="9" t="s">
        <v>32</v>
      </c>
      <c r="D67" s="5">
        <v>0.27445000000000003</v>
      </c>
      <c r="E67" s="6">
        <f t="shared" si="5"/>
        <v>274.45000000000005</v>
      </c>
      <c r="H67" s="2"/>
    </row>
    <row r="68" spans="1:9" x14ac:dyDescent="0.25">
      <c r="A68" s="16"/>
      <c r="B68" s="9" t="s">
        <v>34</v>
      </c>
      <c r="C68" s="4" t="s">
        <v>35</v>
      </c>
      <c r="D68" s="5">
        <v>0.21157000000000001</v>
      </c>
      <c r="E68" s="6">
        <f t="shared" si="5"/>
        <v>211.57000000000002</v>
      </c>
      <c r="H68" s="12"/>
    </row>
    <row r="69" spans="1:9" x14ac:dyDescent="0.25">
      <c r="A69" s="2"/>
      <c r="B69" s="12"/>
      <c r="C69" s="2"/>
      <c r="D69" s="13">
        <f>SUM(D59:D68)</f>
        <v>0.99995600000000007</v>
      </c>
      <c r="E69" s="2">
        <v>1000</v>
      </c>
    </row>
    <row r="75" spans="1:9" x14ac:dyDescent="0.25">
      <c r="A75" s="54" t="s">
        <v>56</v>
      </c>
      <c r="B75" s="54"/>
      <c r="C75" s="54"/>
      <c r="D75" s="54"/>
      <c r="E75" s="54"/>
      <c r="H75" s="54"/>
      <c r="I75" s="54"/>
    </row>
    <row r="76" spans="1:9" x14ac:dyDescent="0.25">
      <c r="A76" s="2"/>
      <c r="B76" s="2"/>
      <c r="C76" s="2"/>
      <c r="D76" s="2"/>
      <c r="E76" s="2"/>
    </row>
    <row r="77" spans="1:9" x14ac:dyDescent="0.25">
      <c r="A77" s="3" t="s">
        <v>3</v>
      </c>
      <c r="B77" s="3" t="s">
        <v>4</v>
      </c>
      <c r="C77" s="3" t="s">
        <v>5</v>
      </c>
      <c r="D77" s="3" t="s">
        <v>6</v>
      </c>
      <c r="E77" s="3" t="s">
        <v>7</v>
      </c>
      <c r="H77" s="2"/>
    </row>
    <row r="78" spans="1:9" x14ac:dyDescent="0.25">
      <c r="A78" s="55" t="s">
        <v>572</v>
      </c>
      <c r="B78" s="4" t="s">
        <v>10</v>
      </c>
      <c r="C78" s="4" t="s">
        <v>10</v>
      </c>
      <c r="D78" s="5">
        <v>0.18801999999999999</v>
      </c>
      <c r="E78" s="6">
        <f t="shared" ref="E78:E87" si="6">(E$52*D78)</f>
        <v>188.01999999999998</v>
      </c>
      <c r="H78" s="2"/>
    </row>
    <row r="79" spans="1:9" x14ac:dyDescent="0.25">
      <c r="A79" s="56"/>
      <c r="B79" s="4" t="s">
        <v>12</v>
      </c>
      <c r="C79" s="4" t="s">
        <v>13</v>
      </c>
      <c r="D79" s="5">
        <v>1.5900000000000001E-3</v>
      </c>
      <c r="E79" s="6">
        <f t="shared" si="6"/>
        <v>1.59</v>
      </c>
      <c r="H79" s="2"/>
    </row>
    <row r="80" spans="1:9" x14ac:dyDescent="0.25">
      <c r="A80" s="56"/>
      <c r="B80" s="9" t="s">
        <v>16</v>
      </c>
      <c r="C80" s="4" t="s">
        <v>51</v>
      </c>
      <c r="D80" s="5">
        <v>9.9799999999999997E-4</v>
      </c>
      <c r="E80" s="6">
        <f t="shared" si="6"/>
        <v>0.998</v>
      </c>
      <c r="H80" s="2"/>
    </row>
    <row r="81" spans="1:9" x14ac:dyDescent="0.25">
      <c r="A81" s="57"/>
      <c r="B81" s="9" t="s">
        <v>19</v>
      </c>
      <c r="C81" s="4" t="s">
        <v>52</v>
      </c>
      <c r="D81" s="5">
        <v>2.99E-3</v>
      </c>
      <c r="E81" s="6">
        <f t="shared" si="6"/>
        <v>2.99</v>
      </c>
      <c r="H81" s="2"/>
    </row>
    <row r="82" spans="1:9" x14ac:dyDescent="0.25">
      <c r="A82" s="8"/>
      <c r="B82" s="9" t="s">
        <v>19</v>
      </c>
      <c r="C82" s="4" t="s">
        <v>20</v>
      </c>
      <c r="D82" s="5">
        <v>2.99E-3</v>
      </c>
      <c r="E82" s="6">
        <f t="shared" si="6"/>
        <v>2.99</v>
      </c>
      <c r="H82" s="2"/>
    </row>
    <row r="83" spans="1:9" x14ac:dyDescent="0.25">
      <c r="A83" s="8" t="s">
        <v>64</v>
      </c>
      <c r="B83" s="9" t="s">
        <v>23</v>
      </c>
      <c r="C83" s="11" t="s">
        <v>23</v>
      </c>
      <c r="D83" s="5">
        <v>0.10578799999999999</v>
      </c>
      <c r="E83" s="6">
        <f t="shared" si="6"/>
        <v>105.788</v>
      </c>
      <c r="H83" s="2"/>
    </row>
    <row r="84" spans="1:9" x14ac:dyDescent="0.25">
      <c r="A84" s="8" t="s">
        <v>64</v>
      </c>
      <c r="B84" s="9" t="s">
        <v>27</v>
      </c>
      <c r="C84" s="4" t="s">
        <v>28</v>
      </c>
      <c r="D84" s="5">
        <v>0.10578</v>
      </c>
      <c r="E84" s="6">
        <f t="shared" si="6"/>
        <v>105.78</v>
      </c>
    </row>
    <row r="85" spans="1:9" x14ac:dyDescent="0.25">
      <c r="A85" s="8" t="s">
        <v>64</v>
      </c>
      <c r="B85" s="9" t="s">
        <v>30</v>
      </c>
      <c r="C85" s="4" t="s">
        <v>30</v>
      </c>
      <c r="D85" s="5">
        <v>0.10578</v>
      </c>
      <c r="E85" s="6">
        <f t="shared" si="6"/>
        <v>105.78</v>
      </c>
    </row>
    <row r="86" spans="1:9" x14ac:dyDescent="0.25">
      <c r="A86" s="8" t="s">
        <v>573</v>
      </c>
      <c r="B86" s="9" t="s">
        <v>32</v>
      </c>
      <c r="C86" s="9" t="s">
        <v>32</v>
      </c>
      <c r="D86" s="5">
        <v>0.27445000000000003</v>
      </c>
      <c r="E86" s="6">
        <f t="shared" si="6"/>
        <v>274.45000000000005</v>
      </c>
    </row>
    <row r="87" spans="1:9" x14ac:dyDescent="0.25">
      <c r="A87" s="8" t="s">
        <v>573</v>
      </c>
      <c r="B87" s="9" t="s">
        <v>34</v>
      </c>
      <c r="C87" s="4" t="s">
        <v>35</v>
      </c>
      <c r="D87" s="5">
        <v>0.21157000000000001</v>
      </c>
      <c r="E87" s="6">
        <f t="shared" si="6"/>
        <v>211.57000000000002</v>
      </c>
    </row>
    <row r="88" spans="1:9" x14ac:dyDescent="0.25">
      <c r="A88" s="2"/>
      <c r="B88" s="12"/>
      <c r="C88" s="2"/>
      <c r="D88" s="13">
        <f>SUM(D78:D87)</f>
        <v>0.99995600000000007</v>
      </c>
      <c r="E88" s="2">
        <v>1000</v>
      </c>
    </row>
    <row r="94" spans="1:9" x14ac:dyDescent="0.25">
      <c r="A94" s="54" t="s">
        <v>57</v>
      </c>
      <c r="B94" s="54"/>
      <c r="C94" s="54"/>
      <c r="D94" s="54"/>
      <c r="E94" s="54"/>
      <c r="H94" s="54"/>
      <c r="I94" s="54"/>
    </row>
    <row r="95" spans="1:9" x14ac:dyDescent="0.25">
      <c r="A95" s="2"/>
      <c r="B95" s="2"/>
      <c r="C95" s="2"/>
      <c r="D95" s="2"/>
      <c r="E95" s="2"/>
    </row>
    <row r="96" spans="1:9" x14ac:dyDescent="0.25">
      <c r="A96" s="3" t="s">
        <v>3</v>
      </c>
      <c r="B96" s="3" t="s">
        <v>4</v>
      </c>
      <c r="C96" s="3" t="s">
        <v>5</v>
      </c>
      <c r="D96" s="3" t="s">
        <v>6</v>
      </c>
      <c r="E96" s="3" t="s">
        <v>7</v>
      </c>
      <c r="H96" s="2"/>
    </row>
    <row r="97" spans="1:9" ht="14.25" customHeight="1" x14ac:dyDescent="0.25">
      <c r="A97" s="55" t="s">
        <v>26</v>
      </c>
      <c r="B97" s="4" t="s">
        <v>10</v>
      </c>
      <c r="C97" s="4" t="s">
        <v>10</v>
      </c>
      <c r="D97" s="5">
        <v>0.18801999999999999</v>
      </c>
      <c r="E97" s="6">
        <f t="shared" ref="E97:E106" si="7">(E$52*D97)</f>
        <v>188.01999999999998</v>
      </c>
      <c r="H97" s="2"/>
    </row>
    <row r="98" spans="1:9" ht="14.25" customHeight="1" x14ac:dyDescent="0.25">
      <c r="A98" s="57"/>
      <c r="B98" s="4" t="s">
        <v>12</v>
      </c>
      <c r="C98" s="4" t="s">
        <v>13</v>
      </c>
      <c r="D98" s="5">
        <v>1.5900000000000001E-3</v>
      </c>
      <c r="E98" s="6">
        <f t="shared" si="7"/>
        <v>1.59</v>
      </c>
      <c r="H98" s="2"/>
    </row>
    <row r="99" spans="1:9" ht="14.25" customHeight="1" x14ac:dyDescent="0.25">
      <c r="A99" s="56" t="s">
        <v>59</v>
      </c>
      <c r="B99" s="9" t="s">
        <v>16</v>
      </c>
      <c r="C99" s="4" t="s">
        <v>51</v>
      </c>
      <c r="D99" s="5">
        <v>9.8799999999999995E-4</v>
      </c>
      <c r="E99" s="6">
        <f t="shared" si="7"/>
        <v>0.98799999999999999</v>
      </c>
      <c r="H99" s="2"/>
    </row>
    <row r="100" spans="1:9" ht="14.25" customHeight="1" x14ac:dyDescent="0.25">
      <c r="A100" s="57"/>
      <c r="B100" s="9" t="s">
        <v>19</v>
      </c>
      <c r="C100" s="4" t="s">
        <v>52</v>
      </c>
      <c r="D100" s="5">
        <v>2.9940000000000001E-3</v>
      </c>
      <c r="E100" s="6">
        <f t="shared" si="7"/>
        <v>2.9940000000000002</v>
      </c>
      <c r="H100" s="2"/>
    </row>
    <row r="101" spans="1:9" x14ac:dyDescent="0.25">
      <c r="A101" s="10"/>
      <c r="B101" s="9" t="s">
        <v>19</v>
      </c>
      <c r="C101" s="4" t="s">
        <v>20</v>
      </c>
      <c r="D101" s="5">
        <v>2.9940000000000001E-3</v>
      </c>
      <c r="E101" s="6">
        <f t="shared" si="7"/>
        <v>2.9940000000000002</v>
      </c>
      <c r="H101" s="2"/>
    </row>
    <row r="102" spans="1:9" x14ac:dyDescent="0.25">
      <c r="A102" s="8" t="s">
        <v>59</v>
      </c>
      <c r="B102" s="9" t="s">
        <v>23</v>
      </c>
      <c r="C102" s="11" t="s">
        <v>23</v>
      </c>
      <c r="D102" s="5">
        <v>0.10578</v>
      </c>
      <c r="E102" s="6">
        <f t="shared" si="7"/>
        <v>105.78</v>
      </c>
      <c r="H102" s="2"/>
    </row>
    <row r="103" spans="1:9" x14ac:dyDescent="0.25">
      <c r="A103" s="8" t="s">
        <v>33</v>
      </c>
      <c r="B103" s="9" t="s">
        <v>27</v>
      </c>
      <c r="C103" s="4" t="s">
        <v>28</v>
      </c>
      <c r="D103" s="5">
        <v>0.10578</v>
      </c>
      <c r="E103" s="6">
        <f t="shared" si="7"/>
        <v>105.78</v>
      </c>
    </row>
    <row r="104" spans="1:9" x14ac:dyDescent="0.25">
      <c r="A104" s="8" t="s">
        <v>64</v>
      </c>
      <c r="B104" s="9" t="s">
        <v>30</v>
      </c>
      <c r="C104" s="4" t="s">
        <v>30</v>
      </c>
      <c r="D104" s="5">
        <v>0.10578</v>
      </c>
      <c r="E104" s="6">
        <f t="shared" si="7"/>
        <v>105.78</v>
      </c>
    </row>
    <row r="105" spans="1:9" x14ac:dyDescent="0.25">
      <c r="A105" s="8"/>
      <c r="B105" s="9" t="s">
        <v>32</v>
      </c>
      <c r="C105" s="9" t="s">
        <v>32</v>
      </c>
      <c r="D105" s="5">
        <v>0.27455000000000002</v>
      </c>
      <c r="E105" s="6">
        <f t="shared" si="7"/>
        <v>274.55</v>
      </c>
    </row>
    <row r="106" spans="1:9" x14ac:dyDescent="0.25">
      <c r="A106" s="8"/>
      <c r="B106" s="9" t="s">
        <v>34</v>
      </c>
      <c r="C106" s="4" t="s">
        <v>35</v>
      </c>
      <c r="D106" s="5">
        <v>0.21157000000000001</v>
      </c>
      <c r="E106" s="6">
        <f t="shared" si="7"/>
        <v>211.57000000000002</v>
      </c>
    </row>
    <row r="107" spans="1:9" x14ac:dyDescent="0.25">
      <c r="A107" s="2"/>
      <c r="B107" s="12"/>
      <c r="C107" s="2"/>
      <c r="D107" s="13">
        <f>SUM(D97:D106)</f>
        <v>1.000046</v>
      </c>
      <c r="E107" s="2">
        <v>1000</v>
      </c>
    </row>
    <row r="110" spans="1:9" x14ac:dyDescent="0.25">
      <c r="A110" s="54" t="s">
        <v>60</v>
      </c>
      <c r="B110" s="54"/>
      <c r="C110" s="54"/>
      <c r="D110" s="54"/>
      <c r="E110" s="54"/>
    </row>
    <row r="111" spans="1:9" x14ac:dyDescent="0.25">
      <c r="A111" s="2"/>
      <c r="B111" s="2"/>
      <c r="C111" s="2"/>
      <c r="D111" s="2"/>
      <c r="E111" s="2"/>
      <c r="H111" s="42"/>
      <c r="I111" s="42"/>
    </row>
    <row r="112" spans="1:9" x14ac:dyDescent="0.25">
      <c r="A112" s="3" t="s">
        <v>3</v>
      </c>
      <c r="B112" s="3" t="s">
        <v>4</v>
      </c>
      <c r="C112" s="3" t="s">
        <v>5</v>
      </c>
      <c r="D112" s="3" t="s">
        <v>6</v>
      </c>
      <c r="E112" s="3" t="s">
        <v>7</v>
      </c>
      <c r="G112" s="17"/>
      <c r="H112" s="18"/>
      <c r="I112" s="17"/>
    </row>
    <row r="113" spans="1:8" ht="14.25" customHeight="1" x14ac:dyDescent="0.25">
      <c r="A113" s="55" t="s">
        <v>62</v>
      </c>
      <c r="B113" s="4" t="s">
        <v>10</v>
      </c>
      <c r="C113" s="4" t="s">
        <v>10</v>
      </c>
      <c r="D113" s="5">
        <v>0.18801999999999999</v>
      </c>
      <c r="E113" s="6">
        <f t="shared" ref="E113:E122" si="8">(E$123*D113)</f>
        <v>188.01999999999998</v>
      </c>
      <c r="H113" s="2"/>
    </row>
    <row r="114" spans="1:8" ht="14.25" customHeight="1" x14ac:dyDescent="0.25">
      <c r="A114" s="56"/>
      <c r="B114" s="4" t="s">
        <v>12</v>
      </c>
      <c r="C114" s="4" t="s">
        <v>13</v>
      </c>
      <c r="D114" s="5">
        <v>1.5900000000000001E-3</v>
      </c>
      <c r="E114" s="6">
        <f t="shared" si="8"/>
        <v>1.59</v>
      </c>
      <c r="H114" s="2"/>
    </row>
    <row r="115" spans="1:8" ht="14.25" customHeight="1" x14ac:dyDescent="0.25">
      <c r="A115" s="56"/>
      <c r="B115" s="9" t="s">
        <v>16</v>
      </c>
      <c r="C115" s="4" t="s">
        <v>51</v>
      </c>
      <c r="D115" s="5">
        <v>9.8999999999999999E-4</v>
      </c>
      <c r="E115" s="6">
        <f t="shared" si="8"/>
        <v>0.99</v>
      </c>
      <c r="H115" s="2"/>
    </row>
    <row r="116" spans="1:8" ht="15" customHeight="1" x14ac:dyDescent="0.25">
      <c r="A116" s="57"/>
      <c r="B116" s="9" t="s">
        <v>19</v>
      </c>
      <c r="C116" s="4" t="s">
        <v>52</v>
      </c>
      <c r="D116" s="5">
        <v>2.9940000000000001E-3</v>
      </c>
      <c r="E116" s="6">
        <f t="shared" si="8"/>
        <v>2.9940000000000002</v>
      </c>
      <c r="H116" s="2"/>
    </row>
    <row r="117" spans="1:8" x14ac:dyDescent="0.25">
      <c r="A117" s="16" t="s">
        <v>63</v>
      </c>
      <c r="B117" s="9" t="s">
        <v>23</v>
      </c>
      <c r="C117" s="11" t="s">
        <v>23</v>
      </c>
      <c r="D117" s="5">
        <v>0.10578799999999999</v>
      </c>
      <c r="E117" s="6">
        <f t="shared" si="8"/>
        <v>105.788</v>
      </c>
      <c r="H117" s="2"/>
    </row>
    <row r="118" spans="1:8" x14ac:dyDescent="0.25">
      <c r="A118" s="16"/>
      <c r="B118" s="9" t="s">
        <v>19</v>
      </c>
      <c r="C118" s="4" t="s">
        <v>20</v>
      </c>
      <c r="D118" s="5">
        <v>2.99E-3</v>
      </c>
      <c r="E118" s="6">
        <f t="shared" si="8"/>
        <v>2.99</v>
      </c>
      <c r="H118" s="2"/>
    </row>
    <row r="119" spans="1:8" x14ac:dyDescent="0.25">
      <c r="A119" s="8" t="s">
        <v>64</v>
      </c>
      <c r="B119" s="9" t="s">
        <v>27</v>
      </c>
      <c r="C119" s="4" t="s">
        <v>28</v>
      </c>
      <c r="D119" s="5">
        <v>0.10578799999999999</v>
      </c>
      <c r="E119" s="6">
        <f t="shared" si="8"/>
        <v>105.788</v>
      </c>
      <c r="H119" s="2"/>
    </row>
    <row r="120" spans="1:8" x14ac:dyDescent="0.25">
      <c r="A120" s="8" t="s">
        <v>64</v>
      </c>
      <c r="B120" s="9" t="s">
        <v>30</v>
      </c>
      <c r="C120" s="4" t="s">
        <v>30</v>
      </c>
      <c r="D120" s="5">
        <v>0.10578799999999999</v>
      </c>
      <c r="E120" s="6">
        <f t="shared" si="8"/>
        <v>105.788</v>
      </c>
    </row>
    <row r="121" spans="1:8" x14ac:dyDescent="0.25">
      <c r="A121" s="8" t="s">
        <v>64</v>
      </c>
      <c r="B121" s="9" t="s">
        <v>32</v>
      </c>
      <c r="C121" s="9" t="s">
        <v>32</v>
      </c>
      <c r="D121" s="5">
        <v>0.27445000000000003</v>
      </c>
      <c r="E121" s="6">
        <f t="shared" si="8"/>
        <v>274.45000000000005</v>
      </c>
    </row>
    <row r="122" spans="1:8" x14ac:dyDescent="0.25">
      <c r="A122" s="8" t="s">
        <v>65</v>
      </c>
      <c r="B122" s="9" t="s">
        <v>34</v>
      </c>
      <c r="C122" s="4" t="s">
        <v>66</v>
      </c>
      <c r="D122" s="5">
        <v>0.21157000000000001</v>
      </c>
      <c r="E122" s="6">
        <f t="shared" si="8"/>
        <v>211.57000000000002</v>
      </c>
    </row>
    <row r="123" spans="1:8" x14ac:dyDescent="0.25">
      <c r="A123" s="2"/>
      <c r="B123" s="12"/>
      <c r="C123" s="2"/>
      <c r="D123" s="13">
        <f>SUM(D113:D122)</f>
        <v>0.99996799999999997</v>
      </c>
      <c r="E123" s="2">
        <v>1000</v>
      </c>
    </row>
    <row r="124" spans="1:8" x14ac:dyDescent="0.25">
      <c r="A124" s="2"/>
      <c r="B124" s="2"/>
      <c r="C124" s="2"/>
      <c r="D124" s="13"/>
      <c r="E124" s="2"/>
    </row>
    <row r="130" spans="1:5" x14ac:dyDescent="0.25">
      <c r="A130" s="54" t="s">
        <v>67</v>
      </c>
      <c r="B130" s="54"/>
      <c r="C130" s="54"/>
      <c r="D130" s="54"/>
      <c r="E130" s="54"/>
    </row>
    <row r="131" spans="1:5" x14ac:dyDescent="0.25">
      <c r="A131" s="2" t="s">
        <v>68</v>
      </c>
      <c r="B131" s="2"/>
      <c r="C131" s="2"/>
      <c r="D131" s="2"/>
      <c r="E131" s="2"/>
    </row>
    <row r="132" spans="1:5" x14ac:dyDescent="0.25">
      <c r="A132" s="3" t="s">
        <v>3</v>
      </c>
      <c r="B132" s="3" t="s">
        <v>4</v>
      </c>
      <c r="C132" s="3" t="s">
        <v>5</v>
      </c>
      <c r="D132" s="3" t="s">
        <v>6</v>
      </c>
      <c r="E132" s="3" t="s">
        <v>7</v>
      </c>
    </row>
    <row r="133" spans="1:5" x14ac:dyDescent="0.25">
      <c r="A133" s="55" t="s">
        <v>62</v>
      </c>
      <c r="B133" s="4" t="s">
        <v>10</v>
      </c>
      <c r="C133" s="3" t="s">
        <v>10</v>
      </c>
      <c r="D133" s="5">
        <v>0.17480000000000001</v>
      </c>
      <c r="E133" s="6">
        <f t="shared" ref="E133:E143" si="9">(E$144*D133)</f>
        <v>174.8</v>
      </c>
    </row>
    <row r="134" spans="1:5" x14ac:dyDescent="0.25">
      <c r="A134" s="56"/>
      <c r="B134" s="4" t="s">
        <v>12</v>
      </c>
      <c r="C134" s="3" t="s">
        <v>13</v>
      </c>
      <c r="D134" s="5">
        <v>1.6000000000000001E-3</v>
      </c>
      <c r="E134" s="6">
        <f t="shared" si="9"/>
        <v>1.6</v>
      </c>
    </row>
    <row r="135" spans="1:5" x14ac:dyDescent="0.25">
      <c r="A135" s="57"/>
      <c r="B135" s="9" t="s">
        <v>16</v>
      </c>
      <c r="C135" s="3" t="s">
        <v>17</v>
      </c>
      <c r="D135" s="5">
        <v>2E-3</v>
      </c>
      <c r="E135" s="6">
        <f t="shared" si="9"/>
        <v>2</v>
      </c>
    </row>
    <row r="136" spans="1:5" x14ac:dyDescent="0.25">
      <c r="A136" s="10"/>
      <c r="B136" s="9" t="s">
        <v>19</v>
      </c>
      <c r="C136" s="3" t="s">
        <v>20</v>
      </c>
      <c r="D136" s="5">
        <v>3.0000000000000001E-3</v>
      </c>
      <c r="E136" s="6">
        <f t="shared" si="9"/>
        <v>3</v>
      </c>
    </row>
    <row r="137" spans="1:5" x14ac:dyDescent="0.25">
      <c r="A137" s="16" t="s">
        <v>63</v>
      </c>
      <c r="B137" s="9" t="s">
        <v>23</v>
      </c>
      <c r="C137" s="3" t="s">
        <v>24</v>
      </c>
      <c r="D137" s="5">
        <v>0.106</v>
      </c>
      <c r="E137" s="6">
        <f t="shared" si="9"/>
        <v>106</v>
      </c>
    </row>
    <row r="138" spans="1:5" x14ac:dyDescent="0.25">
      <c r="A138" s="16" t="s">
        <v>63</v>
      </c>
      <c r="B138" s="9" t="s">
        <v>27</v>
      </c>
      <c r="C138" s="3" t="s">
        <v>28</v>
      </c>
      <c r="D138" s="5">
        <v>0.106</v>
      </c>
      <c r="E138" s="6">
        <f t="shared" si="9"/>
        <v>106</v>
      </c>
    </row>
    <row r="139" spans="1:5" x14ac:dyDescent="0.25">
      <c r="A139" s="16" t="s">
        <v>63</v>
      </c>
      <c r="B139" s="9" t="s">
        <v>30</v>
      </c>
      <c r="C139" s="3" t="s">
        <v>30</v>
      </c>
      <c r="D139" s="5">
        <v>0.106</v>
      </c>
      <c r="E139" s="6">
        <f t="shared" si="9"/>
        <v>106</v>
      </c>
    </row>
    <row r="140" spans="1:5" x14ac:dyDescent="0.25">
      <c r="A140" s="16" t="s">
        <v>63</v>
      </c>
      <c r="B140" s="9" t="s">
        <v>32</v>
      </c>
      <c r="C140" s="15" t="s">
        <v>32</v>
      </c>
      <c r="D140" s="5">
        <v>0.27500000000000002</v>
      </c>
      <c r="E140" s="6">
        <f t="shared" si="9"/>
        <v>275</v>
      </c>
    </row>
    <row r="141" spans="1:5" x14ac:dyDescent="0.25">
      <c r="A141" s="16" t="s">
        <v>69</v>
      </c>
      <c r="B141" s="9" t="s">
        <v>34</v>
      </c>
      <c r="C141" s="15" t="s">
        <v>35</v>
      </c>
      <c r="D141" s="5">
        <v>0.21199999999999999</v>
      </c>
      <c r="E141" s="6">
        <f t="shared" si="9"/>
        <v>212</v>
      </c>
    </row>
    <row r="142" spans="1:5" x14ac:dyDescent="0.25">
      <c r="A142" s="16"/>
      <c r="B142" s="9"/>
      <c r="C142" s="15" t="s">
        <v>70</v>
      </c>
      <c r="D142" s="5">
        <v>1.1599999999999999E-2</v>
      </c>
      <c r="E142" s="6">
        <f t="shared" si="9"/>
        <v>11.6</v>
      </c>
    </row>
    <row r="143" spans="1:5" x14ac:dyDescent="0.25">
      <c r="A143" s="16" t="s">
        <v>69</v>
      </c>
      <c r="B143" s="9"/>
      <c r="C143" s="3" t="s">
        <v>71</v>
      </c>
      <c r="D143" s="5">
        <v>2E-3</v>
      </c>
      <c r="E143" s="6">
        <f t="shared" si="9"/>
        <v>2</v>
      </c>
    </row>
    <row r="144" spans="1:5" x14ac:dyDescent="0.25">
      <c r="A144" s="2"/>
      <c r="B144" s="12"/>
      <c r="C144" s="2"/>
      <c r="D144" s="13">
        <f>SUM(D133:D143)</f>
        <v>1</v>
      </c>
      <c r="E144" s="19">
        <v>1000</v>
      </c>
    </row>
    <row r="145" spans="1:5" x14ac:dyDescent="0.25">
      <c r="A145" s="2"/>
      <c r="B145" s="2"/>
      <c r="C145" s="2"/>
      <c r="D145" s="13"/>
      <c r="E145" s="2"/>
    </row>
    <row r="150" spans="1:5" x14ac:dyDescent="0.25">
      <c r="A150" s="54" t="s">
        <v>72</v>
      </c>
      <c r="B150" s="54"/>
      <c r="C150" s="54"/>
      <c r="D150" s="54"/>
      <c r="E150" s="54"/>
    </row>
    <row r="151" spans="1:5" x14ac:dyDescent="0.25">
      <c r="A151" s="2" t="s">
        <v>73</v>
      </c>
      <c r="B151" s="2"/>
      <c r="C151" s="2"/>
      <c r="D151" s="2"/>
      <c r="E151" s="2"/>
    </row>
    <row r="152" spans="1:5" x14ac:dyDescent="0.25">
      <c r="A152" s="3" t="s">
        <v>3</v>
      </c>
      <c r="B152" s="3" t="s">
        <v>4</v>
      </c>
      <c r="C152" s="3" t="s">
        <v>5</v>
      </c>
      <c r="D152" s="3" t="s">
        <v>6</v>
      </c>
      <c r="E152" s="3" t="s">
        <v>7</v>
      </c>
    </row>
    <row r="153" spans="1:5" x14ac:dyDescent="0.25">
      <c r="A153" s="55" t="s">
        <v>62</v>
      </c>
      <c r="B153" s="4" t="s">
        <v>10</v>
      </c>
      <c r="C153" s="3" t="s">
        <v>10</v>
      </c>
      <c r="D153" s="5">
        <v>0.17480000000000001</v>
      </c>
      <c r="E153" s="6">
        <f t="shared" ref="E153:E163" si="10">(E$13*D153)</f>
        <v>174.8</v>
      </c>
    </row>
    <row r="154" spans="1:5" x14ac:dyDescent="0.25">
      <c r="A154" s="56"/>
      <c r="B154" s="4" t="s">
        <v>12</v>
      </c>
      <c r="C154" s="3" t="s">
        <v>13</v>
      </c>
      <c r="D154" s="5">
        <v>1.6000000000000001E-3</v>
      </c>
      <c r="E154" s="6">
        <f t="shared" si="10"/>
        <v>1.6</v>
      </c>
    </row>
    <row r="155" spans="1:5" x14ac:dyDescent="0.25">
      <c r="A155" s="57"/>
      <c r="B155" s="9" t="s">
        <v>16</v>
      </c>
      <c r="C155" s="3" t="s">
        <v>17</v>
      </c>
      <c r="D155" s="5">
        <v>2E-3</v>
      </c>
      <c r="E155" s="6">
        <f t="shared" si="10"/>
        <v>2</v>
      </c>
    </row>
    <row r="156" spans="1:5" x14ac:dyDescent="0.25">
      <c r="A156" s="10"/>
      <c r="B156" s="9" t="s">
        <v>19</v>
      </c>
      <c r="C156" s="3" t="s">
        <v>20</v>
      </c>
      <c r="D156" s="5">
        <v>3.0000000000000001E-3</v>
      </c>
      <c r="E156" s="6">
        <f t="shared" si="10"/>
        <v>3</v>
      </c>
    </row>
    <row r="157" spans="1:5" x14ac:dyDescent="0.25">
      <c r="A157" s="16" t="s">
        <v>63</v>
      </c>
      <c r="B157" s="9" t="s">
        <v>23</v>
      </c>
      <c r="C157" s="3" t="s">
        <v>74</v>
      </c>
      <c r="D157" s="5">
        <v>0.106</v>
      </c>
      <c r="E157" s="6">
        <f t="shared" si="10"/>
        <v>106</v>
      </c>
    </row>
    <row r="158" spans="1:5" x14ac:dyDescent="0.25">
      <c r="A158" s="16" t="s">
        <v>63</v>
      </c>
      <c r="B158" s="9" t="s">
        <v>27</v>
      </c>
      <c r="C158" s="3" t="s">
        <v>28</v>
      </c>
      <c r="D158" s="5">
        <v>0.106</v>
      </c>
      <c r="E158" s="6">
        <f t="shared" si="10"/>
        <v>106</v>
      </c>
    </row>
    <row r="159" spans="1:5" x14ac:dyDescent="0.25">
      <c r="A159" s="16" t="s">
        <v>63</v>
      </c>
      <c r="B159" s="9" t="s">
        <v>30</v>
      </c>
      <c r="C159" s="3" t="s">
        <v>30</v>
      </c>
      <c r="D159" s="5">
        <v>0.106</v>
      </c>
      <c r="E159" s="6">
        <f t="shared" si="10"/>
        <v>106</v>
      </c>
    </row>
    <row r="160" spans="1:5" x14ac:dyDescent="0.25">
      <c r="A160" s="16" t="s">
        <v>63</v>
      </c>
      <c r="B160" s="9" t="s">
        <v>32</v>
      </c>
      <c r="C160" s="15" t="s">
        <v>32</v>
      </c>
      <c r="D160" s="5">
        <v>0.27500000000000002</v>
      </c>
      <c r="E160" s="6">
        <f t="shared" si="10"/>
        <v>275</v>
      </c>
    </row>
    <row r="161" spans="1:5" x14ac:dyDescent="0.25">
      <c r="A161" s="16" t="s">
        <v>69</v>
      </c>
      <c r="B161" s="9" t="s">
        <v>34</v>
      </c>
      <c r="C161" s="15" t="s">
        <v>35</v>
      </c>
      <c r="D161" s="5">
        <v>0.21199999999999999</v>
      </c>
      <c r="E161" s="6">
        <f t="shared" si="10"/>
        <v>212</v>
      </c>
    </row>
    <row r="162" spans="1:5" x14ac:dyDescent="0.25">
      <c r="A162" s="16"/>
      <c r="B162" s="9"/>
      <c r="C162" s="15" t="s">
        <v>70</v>
      </c>
      <c r="D162" s="5">
        <v>1.1599999999999999E-2</v>
      </c>
      <c r="E162" s="6">
        <f t="shared" si="10"/>
        <v>11.6</v>
      </c>
    </row>
    <row r="163" spans="1:5" x14ac:dyDescent="0.25">
      <c r="A163" s="16" t="s">
        <v>69</v>
      </c>
      <c r="B163" s="9"/>
      <c r="C163" s="3" t="s">
        <v>71</v>
      </c>
      <c r="D163" s="5">
        <v>2E-3</v>
      </c>
      <c r="E163" s="6">
        <f t="shared" si="10"/>
        <v>2</v>
      </c>
    </row>
    <row r="164" spans="1:5" x14ac:dyDescent="0.25">
      <c r="A164" s="2"/>
      <c r="B164" s="12"/>
      <c r="C164" s="2"/>
      <c r="D164" s="13">
        <f>SUM(D153:D163)</f>
        <v>1</v>
      </c>
      <c r="E164" s="19">
        <f>SUM(E153:E163)</f>
        <v>1000</v>
      </c>
    </row>
    <row r="168" spans="1:5" x14ac:dyDescent="0.25">
      <c r="A168" s="54" t="s">
        <v>75</v>
      </c>
      <c r="B168" s="54"/>
      <c r="C168" s="54"/>
      <c r="D168" s="54"/>
      <c r="E168" s="54"/>
    </row>
    <row r="169" spans="1:5" x14ac:dyDescent="0.25">
      <c r="A169" s="2" t="s">
        <v>76</v>
      </c>
      <c r="B169" s="2"/>
      <c r="C169" s="2"/>
      <c r="D169" s="2"/>
      <c r="E169" s="2"/>
    </row>
    <row r="170" spans="1:5" x14ac:dyDescent="0.25">
      <c r="A170" s="3" t="s">
        <v>3</v>
      </c>
      <c r="B170" s="3" t="s">
        <v>4</v>
      </c>
      <c r="C170" s="3" t="s">
        <v>5</v>
      </c>
      <c r="D170" s="3" t="s">
        <v>6</v>
      </c>
      <c r="E170" s="3" t="s">
        <v>7</v>
      </c>
    </row>
    <row r="171" spans="1:5" x14ac:dyDescent="0.25">
      <c r="A171" s="55" t="s">
        <v>62</v>
      </c>
      <c r="B171" s="4" t="s">
        <v>10</v>
      </c>
      <c r="C171" s="3" t="s">
        <v>10</v>
      </c>
      <c r="D171" s="5">
        <v>0.17330000000000001</v>
      </c>
      <c r="E171" s="6">
        <f t="shared" ref="E171:E182" si="11">(E$183*D171)</f>
        <v>173.3</v>
      </c>
    </row>
    <row r="172" spans="1:5" x14ac:dyDescent="0.25">
      <c r="A172" s="56"/>
      <c r="B172" s="4" t="s">
        <v>12</v>
      </c>
      <c r="C172" s="3" t="s">
        <v>13</v>
      </c>
      <c r="D172" s="5">
        <v>1.6000000000000001E-3</v>
      </c>
      <c r="E172" s="6">
        <f t="shared" si="11"/>
        <v>1.6</v>
      </c>
    </row>
    <row r="173" spans="1:5" x14ac:dyDescent="0.25">
      <c r="A173" s="56"/>
      <c r="B173" s="9"/>
      <c r="C173" s="3" t="s">
        <v>77</v>
      </c>
      <c r="D173" s="5">
        <v>2E-3</v>
      </c>
      <c r="E173" s="6">
        <f t="shared" si="11"/>
        <v>2</v>
      </c>
    </row>
    <row r="174" spans="1:5" x14ac:dyDescent="0.25">
      <c r="A174" s="56"/>
      <c r="B174" s="9"/>
      <c r="C174" s="3" t="s">
        <v>51</v>
      </c>
      <c r="D174" s="5">
        <v>1E-3</v>
      </c>
      <c r="E174" s="6">
        <f t="shared" si="11"/>
        <v>1</v>
      </c>
    </row>
    <row r="175" spans="1:5" x14ac:dyDescent="0.25">
      <c r="A175" s="57"/>
      <c r="B175" s="9"/>
      <c r="C175" s="3" t="s">
        <v>52</v>
      </c>
      <c r="D175" s="5">
        <v>2.5000000000000001E-3</v>
      </c>
      <c r="E175" s="6">
        <f t="shared" si="11"/>
        <v>2.5</v>
      </c>
    </row>
    <row r="176" spans="1:5" x14ac:dyDescent="0.25">
      <c r="A176" s="16" t="s">
        <v>63</v>
      </c>
      <c r="B176" s="9" t="s">
        <v>19</v>
      </c>
      <c r="C176" s="3" t="s">
        <v>20</v>
      </c>
      <c r="D176" s="5">
        <v>3.0000000000000001E-3</v>
      </c>
      <c r="E176" s="6">
        <f t="shared" si="11"/>
        <v>3</v>
      </c>
    </row>
    <row r="177" spans="1:5" x14ac:dyDescent="0.25">
      <c r="A177" s="16" t="s">
        <v>63</v>
      </c>
      <c r="B177" s="9" t="s">
        <v>23</v>
      </c>
      <c r="C177" s="3" t="s">
        <v>24</v>
      </c>
      <c r="D177" s="5">
        <v>0.106</v>
      </c>
      <c r="E177" s="6">
        <f t="shared" si="11"/>
        <v>106</v>
      </c>
    </row>
    <row r="178" spans="1:5" x14ac:dyDescent="0.25">
      <c r="A178" s="16" t="s">
        <v>63</v>
      </c>
      <c r="B178" s="9" t="s">
        <v>27</v>
      </c>
      <c r="C178" s="3" t="s">
        <v>28</v>
      </c>
      <c r="D178" s="5">
        <v>0.106</v>
      </c>
      <c r="E178" s="6">
        <f t="shared" si="11"/>
        <v>106</v>
      </c>
    </row>
    <row r="179" spans="1:5" x14ac:dyDescent="0.25">
      <c r="A179" s="16" t="s">
        <v>63</v>
      </c>
      <c r="B179" s="9" t="s">
        <v>30</v>
      </c>
      <c r="C179" s="3" t="s">
        <v>30</v>
      </c>
      <c r="D179" s="5">
        <v>0.106</v>
      </c>
      <c r="E179" s="6">
        <f t="shared" si="11"/>
        <v>106</v>
      </c>
    </row>
    <row r="180" spans="1:5" x14ac:dyDescent="0.25">
      <c r="A180" s="16" t="s">
        <v>69</v>
      </c>
      <c r="B180" s="9"/>
      <c r="C180" s="15" t="s">
        <v>70</v>
      </c>
      <c r="D180" s="5">
        <v>1.1599999999999999E-2</v>
      </c>
      <c r="E180" s="6">
        <f t="shared" si="11"/>
        <v>11.6</v>
      </c>
    </row>
    <row r="181" spans="1:5" x14ac:dyDescent="0.25">
      <c r="A181" s="16"/>
      <c r="B181" s="9" t="s">
        <v>32</v>
      </c>
      <c r="C181" s="15" t="s">
        <v>32</v>
      </c>
      <c r="D181" s="5">
        <v>0.27500000000000002</v>
      </c>
      <c r="E181" s="6">
        <f t="shared" si="11"/>
        <v>275</v>
      </c>
    </row>
    <row r="182" spans="1:5" x14ac:dyDescent="0.25">
      <c r="A182" s="16" t="s">
        <v>69</v>
      </c>
      <c r="B182" s="9" t="s">
        <v>34</v>
      </c>
      <c r="C182" s="15" t="s">
        <v>35</v>
      </c>
      <c r="D182" s="5">
        <v>0.21199999999999999</v>
      </c>
      <c r="E182" s="6">
        <f t="shared" si="11"/>
        <v>212</v>
      </c>
    </row>
    <row r="183" spans="1:5" x14ac:dyDescent="0.25">
      <c r="A183" s="2"/>
      <c r="B183" s="12"/>
      <c r="C183" s="2"/>
      <c r="D183" s="13">
        <f>SUM(D171:D182)</f>
        <v>0.99999999999999989</v>
      </c>
      <c r="E183" s="19">
        <v>1000</v>
      </c>
    </row>
    <row r="184" spans="1:5" x14ac:dyDescent="0.25">
      <c r="B184" s="2"/>
      <c r="C184" s="2"/>
      <c r="D184" s="13"/>
      <c r="E184" s="2"/>
    </row>
    <row r="190" spans="1:5" x14ac:dyDescent="0.25">
      <c r="A190" s="54" t="s">
        <v>78</v>
      </c>
      <c r="B190" s="54"/>
      <c r="C190" s="54"/>
      <c r="D190" s="54"/>
      <c r="E190" s="54"/>
    </row>
    <row r="191" spans="1:5" x14ac:dyDescent="0.25">
      <c r="A191" s="2" t="s">
        <v>79</v>
      </c>
      <c r="B191" s="2"/>
      <c r="C191" s="2"/>
      <c r="D191" s="2"/>
      <c r="E191" s="2"/>
    </row>
    <row r="192" spans="1:5" x14ac:dyDescent="0.25">
      <c r="A192" s="3" t="s">
        <v>3</v>
      </c>
      <c r="B192" s="3" t="s">
        <v>4</v>
      </c>
      <c r="C192" s="3" t="s">
        <v>5</v>
      </c>
      <c r="D192" s="3" t="s">
        <v>6</v>
      </c>
      <c r="E192" s="3" t="s">
        <v>7</v>
      </c>
    </row>
    <row r="193" spans="1:11" x14ac:dyDescent="0.25">
      <c r="A193" s="55" t="s">
        <v>62</v>
      </c>
      <c r="B193" s="4" t="s">
        <v>10</v>
      </c>
      <c r="C193" s="3" t="s">
        <v>10</v>
      </c>
      <c r="D193" s="5">
        <v>0.17330000000000001</v>
      </c>
      <c r="E193" s="6">
        <f t="shared" ref="E193:E204" si="12">(E$205*D193)</f>
        <v>346.6</v>
      </c>
    </row>
    <row r="194" spans="1:11" x14ac:dyDescent="0.25">
      <c r="A194" s="56"/>
      <c r="B194" s="4" t="s">
        <v>12</v>
      </c>
      <c r="C194" s="3" t="s">
        <v>13</v>
      </c>
      <c r="D194" s="5">
        <v>1.6000000000000001E-3</v>
      </c>
      <c r="E194" s="6">
        <f t="shared" si="12"/>
        <v>3.2</v>
      </c>
    </row>
    <row r="195" spans="1:11" x14ac:dyDescent="0.25">
      <c r="A195" s="56"/>
      <c r="B195" s="9"/>
      <c r="C195" s="3" t="s">
        <v>77</v>
      </c>
      <c r="D195" s="5">
        <v>2E-3</v>
      </c>
      <c r="E195" s="6">
        <f t="shared" si="12"/>
        <v>4</v>
      </c>
    </row>
    <row r="196" spans="1:11" x14ac:dyDescent="0.25">
      <c r="A196" s="56"/>
      <c r="B196" s="9"/>
      <c r="C196" s="3" t="s">
        <v>51</v>
      </c>
      <c r="D196" s="5">
        <v>1E-3</v>
      </c>
      <c r="E196" s="6">
        <f t="shared" si="12"/>
        <v>2</v>
      </c>
    </row>
    <row r="197" spans="1:11" x14ac:dyDescent="0.25">
      <c r="A197" s="57"/>
      <c r="B197" s="9"/>
      <c r="C197" s="3" t="s">
        <v>52</v>
      </c>
      <c r="D197" s="5">
        <v>2.5000000000000001E-3</v>
      </c>
      <c r="E197" s="6">
        <f t="shared" si="12"/>
        <v>5</v>
      </c>
      <c r="I197" s="20"/>
      <c r="J197" s="2"/>
      <c r="K197" s="1"/>
    </row>
    <row r="198" spans="1:11" x14ac:dyDescent="0.25">
      <c r="A198" s="16" t="s">
        <v>63</v>
      </c>
      <c r="B198" s="9" t="s">
        <v>19</v>
      </c>
      <c r="C198" s="3" t="s">
        <v>20</v>
      </c>
      <c r="D198" s="5">
        <v>3.0000000000000001E-3</v>
      </c>
      <c r="E198" s="6">
        <f t="shared" si="12"/>
        <v>6</v>
      </c>
      <c r="I198" s="20"/>
      <c r="J198" s="2"/>
      <c r="K198" s="1"/>
    </row>
    <row r="199" spans="1:11" x14ac:dyDescent="0.25">
      <c r="A199" s="16" t="s">
        <v>63</v>
      </c>
      <c r="B199" s="9" t="s">
        <v>23</v>
      </c>
      <c r="C199" s="3" t="s">
        <v>24</v>
      </c>
      <c r="D199" s="5">
        <v>0.106</v>
      </c>
      <c r="E199" s="6">
        <f t="shared" si="12"/>
        <v>212</v>
      </c>
      <c r="I199" s="20"/>
      <c r="J199" s="2"/>
      <c r="K199" s="1"/>
    </row>
    <row r="200" spans="1:11" x14ac:dyDescent="0.25">
      <c r="A200" s="16" t="s">
        <v>63</v>
      </c>
      <c r="B200" s="9" t="s">
        <v>27</v>
      </c>
      <c r="C200" s="3" t="s">
        <v>28</v>
      </c>
      <c r="D200" s="5">
        <v>0.106</v>
      </c>
      <c r="E200" s="6">
        <f t="shared" si="12"/>
        <v>212</v>
      </c>
      <c r="I200" s="20"/>
      <c r="J200" s="2"/>
      <c r="K200" s="1"/>
    </row>
    <row r="201" spans="1:11" x14ac:dyDescent="0.25">
      <c r="A201" s="16" t="s">
        <v>63</v>
      </c>
      <c r="B201" s="9" t="s">
        <v>30</v>
      </c>
      <c r="C201" s="3" t="s">
        <v>30</v>
      </c>
      <c r="D201" s="5">
        <v>0.106</v>
      </c>
      <c r="E201" s="6">
        <f t="shared" si="12"/>
        <v>212</v>
      </c>
      <c r="I201" s="20"/>
      <c r="J201" s="2"/>
      <c r="K201" s="1"/>
    </row>
    <row r="202" spans="1:11" x14ac:dyDescent="0.25">
      <c r="A202" s="16" t="s">
        <v>69</v>
      </c>
      <c r="B202" s="9"/>
      <c r="C202" s="15" t="s">
        <v>70</v>
      </c>
      <c r="D202" s="5">
        <v>1.1599999999999999E-2</v>
      </c>
      <c r="E202" s="6">
        <f t="shared" si="12"/>
        <v>23.2</v>
      </c>
      <c r="I202" s="20"/>
      <c r="J202" s="2"/>
      <c r="K202" s="1"/>
    </row>
    <row r="203" spans="1:11" x14ac:dyDescent="0.25">
      <c r="A203" s="16"/>
      <c r="B203" s="9" t="s">
        <v>32</v>
      </c>
      <c r="C203" s="15" t="s">
        <v>32</v>
      </c>
      <c r="D203" s="5">
        <v>0.27500000000000002</v>
      </c>
      <c r="E203" s="6">
        <f t="shared" si="12"/>
        <v>550</v>
      </c>
      <c r="I203" s="20"/>
      <c r="J203" s="2"/>
      <c r="K203" s="1"/>
    </row>
    <row r="204" spans="1:11" x14ac:dyDescent="0.25">
      <c r="A204" s="16" t="s">
        <v>69</v>
      </c>
      <c r="B204" s="9" t="s">
        <v>34</v>
      </c>
      <c r="C204" s="15" t="s">
        <v>35</v>
      </c>
      <c r="D204" s="5">
        <v>0.21199999999999999</v>
      </c>
      <c r="E204" s="6">
        <f t="shared" si="12"/>
        <v>424</v>
      </c>
      <c r="I204" s="20"/>
      <c r="J204" s="2"/>
      <c r="K204" s="1"/>
    </row>
    <row r="205" spans="1:11" x14ac:dyDescent="0.25">
      <c r="A205" s="2"/>
      <c r="B205" s="12"/>
      <c r="C205" s="2"/>
      <c r="D205" s="13">
        <f>SUM(D193:D204)</f>
        <v>0.99999999999999989</v>
      </c>
      <c r="E205" s="19">
        <v>2000</v>
      </c>
      <c r="I205" s="20"/>
      <c r="J205" s="2"/>
      <c r="K205" s="1"/>
    </row>
    <row r="206" spans="1:11" x14ac:dyDescent="0.25">
      <c r="B206" s="2"/>
      <c r="C206" s="2"/>
      <c r="D206" s="13"/>
      <c r="E206" s="2"/>
      <c r="I206" s="20"/>
      <c r="J206" s="2"/>
      <c r="K206" s="21"/>
    </row>
    <row r="207" spans="1:11" x14ac:dyDescent="0.25">
      <c r="I207" s="20"/>
      <c r="J207" s="2"/>
      <c r="K207" s="21"/>
    </row>
    <row r="208" spans="1:11" x14ac:dyDescent="0.25">
      <c r="I208" s="20"/>
      <c r="J208" s="2"/>
      <c r="K208" s="21"/>
    </row>
    <row r="209" spans="1:10" x14ac:dyDescent="0.25">
      <c r="I209" s="19"/>
      <c r="J209" s="2"/>
    </row>
    <row r="210" spans="1:10" x14ac:dyDescent="0.25">
      <c r="A210" s="54" t="s">
        <v>80</v>
      </c>
      <c r="B210" s="54"/>
      <c r="C210" s="54"/>
      <c r="D210" s="54"/>
      <c r="E210" s="54"/>
    </row>
    <row r="211" spans="1:10" x14ac:dyDescent="0.25">
      <c r="A211" s="2" t="s">
        <v>79</v>
      </c>
      <c r="B211" s="2"/>
      <c r="C211" s="2"/>
      <c r="D211" s="2"/>
      <c r="E211" s="2"/>
    </row>
    <row r="212" spans="1:10" x14ac:dyDescent="0.25">
      <c r="A212" s="3" t="s">
        <v>3</v>
      </c>
      <c r="B212" s="3" t="s">
        <v>4</v>
      </c>
      <c r="C212" s="3" t="s">
        <v>5</v>
      </c>
      <c r="D212" s="3" t="s">
        <v>6</v>
      </c>
      <c r="E212" s="3" t="s">
        <v>7</v>
      </c>
    </row>
    <row r="213" spans="1:10" x14ac:dyDescent="0.25">
      <c r="A213" s="55" t="s">
        <v>62</v>
      </c>
      <c r="B213" s="4" t="s">
        <v>10</v>
      </c>
      <c r="C213" s="3" t="s">
        <v>10</v>
      </c>
      <c r="D213" s="5">
        <v>0.17280000000000001</v>
      </c>
      <c r="E213" s="6">
        <f t="shared" ref="E213:E224" si="13">(E$225*D213)</f>
        <v>432</v>
      </c>
    </row>
    <row r="214" spans="1:10" x14ac:dyDescent="0.25">
      <c r="A214" s="56"/>
      <c r="B214" s="4" t="s">
        <v>12</v>
      </c>
      <c r="C214" s="3" t="s">
        <v>13</v>
      </c>
      <c r="D214" s="5">
        <v>1.6000000000000001E-3</v>
      </c>
      <c r="E214" s="6">
        <f t="shared" si="13"/>
        <v>4</v>
      </c>
    </row>
    <row r="215" spans="1:10" x14ac:dyDescent="0.25">
      <c r="A215" s="56"/>
      <c r="B215" s="9"/>
      <c r="C215" s="3" t="s">
        <v>77</v>
      </c>
      <c r="D215" s="5">
        <v>2E-3</v>
      </c>
      <c r="E215" s="6">
        <f t="shared" si="13"/>
        <v>5</v>
      </c>
    </row>
    <row r="216" spans="1:10" x14ac:dyDescent="0.25">
      <c r="A216" s="56"/>
      <c r="B216" s="9"/>
      <c r="C216" s="3" t="s">
        <v>51</v>
      </c>
      <c r="D216" s="5">
        <v>1.5E-3</v>
      </c>
      <c r="E216" s="6">
        <f t="shared" si="13"/>
        <v>3.75</v>
      </c>
    </row>
    <row r="217" spans="1:10" x14ac:dyDescent="0.25">
      <c r="A217" s="57"/>
      <c r="B217" s="9"/>
      <c r="C217" s="3" t="s">
        <v>52</v>
      </c>
      <c r="D217" s="5">
        <v>2.5000000000000001E-3</v>
      </c>
      <c r="E217" s="6">
        <f t="shared" si="13"/>
        <v>6.25</v>
      </c>
    </row>
    <row r="218" spans="1:10" x14ac:dyDescent="0.25">
      <c r="A218" s="16" t="s">
        <v>63</v>
      </c>
      <c r="B218" s="9" t="s">
        <v>19</v>
      </c>
      <c r="C218" s="3" t="s">
        <v>20</v>
      </c>
      <c r="D218" s="5">
        <v>3.0000000000000001E-3</v>
      </c>
      <c r="E218" s="6">
        <f t="shared" si="13"/>
        <v>7.5</v>
      </c>
    </row>
    <row r="219" spans="1:10" x14ac:dyDescent="0.25">
      <c r="A219" s="16" t="s">
        <v>63</v>
      </c>
      <c r="B219" s="9" t="s">
        <v>23</v>
      </c>
      <c r="C219" s="3" t="s">
        <v>24</v>
      </c>
      <c r="D219" s="5">
        <v>0.106</v>
      </c>
      <c r="E219" s="6">
        <f t="shared" si="13"/>
        <v>265</v>
      </c>
    </row>
    <row r="220" spans="1:10" x14ac:dyDescent="0.25">
      <c r="A220" s="16" t="s">
        <v>63</v>
      </c>
      <c r="B220" s="9" t="s">
        <v>27</v>
      </c>
      <c r="C220" s="3" t="s">
        <v>28</v>
      </c>
      <c r="D220" s="5">
        <v>0.106</v>
      </c>
      <c r="E220" s="6">
        <f t="shared" si="13"/>
        <v>265</v>
      </c>
    </row>
    <row r="221" spans="1:10" x14ac:dyDescent="0.25">
      <c r="A221" s="16" t="s">
        <v>63</v>
      </c>
      <c r="B221" s="9" t="s">
        <v>30</v>
      </c>
      <c r="C221" s="3" t="s">
        <v>30</v>
      </c>
      <c r="D221" s="5">
        <v>0.106</v>
      </c>
      <c r="E221" s="6">
        <f t="shared" si="13"/>
        <v>265</v>
      </c>
    </row>
    <row r="222" spans="1:10" x14ac:dyDescent="0.25">
      <c r="A222" s="16" t="s">
        <v>69</v>
      </c>
      <c r="B222" s="9"/>
      <c r="C222" s="15" t="s">
        <v>70</v>
      </c>
      <c r="D222" s="5">
        <v>1.1599999999999999E-2</v>
      </c>
      <c r="E222" s="6">
        <f t="shared" si="13"/>
        <v>28.999999999999996</v>
      </c>
    </row>
    <row r="223" spans="1:10" x14ac:dyDescent="0.25">
      <c r="A223" s="16"/>
      <c r="B223" s="9" t="s">
        <v>32</v>
      </c>
      <c r="C223" s="15" t="s">
        <v>32</v>
      </c>
      <c r="D223" s="5">
        <v>0.27500000000000002</v>
      </c>
      <c r="E223" s="6">
        <f t="shared" si="13"/>
        <v>687.5</v>
      </c>
    </row>
    <row r="224" spans="1:10" x14ac:dyDescent="0.25">
      <c r="A224" s="16" t="s">
        <v>69</v>
      </c>
      <c r="B224" s="9" t="s">
        <v>34</v>
      </c>
      <c r="C224" s="15" t="s">
        <v>35</v>
      </c>
      <c r="D224" s="5">
        <v>0.21199999999999999</v>
      </c>
      <c r="E224" s="6">
        <f t="shared" si="13"/>
        <v>530</v>
      </c>
    </row>
    <row r="225" spans="1:5" x14ac:dyDescent="0.25">
      <c r="A225" s="2"/>
      <c r="B225" s="12"/>
      <c r="C225" s="2"/>
      <c r="D225" s="13">
        <f>SUM(D213:D224)</f>
        <v>0.99999999999999989</v>
      </c>
      <c r="E225" s="19">
        <v>2500</v>
      </c>
    </row>
    <row r="228" spans="1:5" x14ac:dyDescent="0.25">
      <c r="A228" s="54" t="s">
        <v>81</v>
      </c>
      <c r="B228" s="54"/>
      <c r="C228" s="54"/>
      <c r="D228" s="54"/>
      <c r="E228" s="54"/>
    </row>
    <row r="229" spans="1:5" x14ac:dyDescent="0.25">
      <c r="A229" s="59" t="s">
        <v>82</v>
      </c>
      <c r="B229" s="59"/>
      <c r="C229" s="59"/>
      <c r="D229" s="59"/>
      <c r="E229" s="59"/>
    </row>
    <row r="230" spans="1:5" x14ac:dyDescent="0.25">
      <c r="A230" s="3" t="s">
        <v>3</v>
      </c>
      <c r="B230" s="3" t="s">
        <v>4</v>
      </c>
      <c r="C230" s="3" t="s">
        <v>5</v>
      </c>
      <c r="D230" s="3" t="s">
        <v>6</v>
      </c>
      <c r="E230" s="3" t="s">
        <v>7</v>
      </c>
    </row>
    <row r="231" spans="1:5" x14ac:dyDescent="0.25">
      <c r="A231" s="55" t="s">
        <v>62</v>
      </c>
      <c r="B231" s="4" t="s">
        <v>10</v>
      </c>
      <c r="C231" s="3" t="s">
        <v>10</v>
      </c>
      <c r="D231" s="5">
        <v>0.1731</v>
      </c>
      <c r="E231" s="6">
        <f>(E$243*D231)</f>
        <v>778.95</v>
      </c>
    </row>
    <row r="232" spans="1:5" x14ac:dyDescent="0.25">
      <c r="A232" s="56"/>
      <c r="B232" s="4" t="s">
        <v>12</v>
      </c>
      <c r="C232" s="3" t="s">
        <v>13</v>
      </c>
      <c r="D232" s="5">
        <v>1.64E-3</v>
      </c>
      <c r="E232" s="6">
        <f>D232*E244</f>
        <v>0</v>
      </c>
    </row>
    <row r="233" spans="1:5" x14ac:dyDescent="0.25">
      <c r="A233" s="56"/>
      <c r="B233" s="9"/>
      <c r="C233" s="3" t="s">
        <v>77</v>
      </c>
      <c r="D233" s="5">
        <v>2E-3</v>
      </c>
      <c r="E233" s="6">
        <f>(D233*E243)</f>
        <v>9</v>
      </c>
    </row>
    <row r="234" spans="1:5" x14ac:dyDescent="0.25">
      <c r="A234" s="56"/>
      <c r="B234" s="9"/>
      <c r="C234" s="3" t="s">
        <v>51</v>
      </c>
      <c r="D234" s="5">
        <v>1.1000000000000001E-3</v>
      </c>
      <c r="E234" s="6">
        <f t="shared" ref="E234:E242" si="14">(E$243*D234)</f>
        <v>4.95</v>
      </c>
    </row>
    <row r="235" spans="1:5" x14ac:dyDescent="0.25">
      <c r="A235" s="57"/>
      <c r="B235" s="9"/>
      <c r="C235" s="3" t="s">
        <v>52</v>
      </c>
      <c r="D235" s="5">
        <v>2.5999999999999999E-3</v>
      </c>
      <c r="E235" s="6">
        <f t="shared" si="14"/>
        <v>11.7</v>
      </c>
    </row>
    <row r="236" spans="1:5" x14ac:dyDescent="0.25">
      <c r="A236" s="16" t="s">
        <v>63</v>
      </c>
      <c r="B236" s="9" t="s">
        <v>19</v>
      </c>
      <c r="C236" s="3" t="s">
        <v>20</v>
      </c>
      <c r="D236" s="5">
        <v>3.0000000000000001E-3</v>
      </c>
      <c r="E236" s="6">
        <f t="shared" si="14"/>
        <v>13.5</v>
      </c>
    </row>
    <row r="237" spans="1:5" x14ac:dyDescent="0.25">
      <c r="A237" s="16" t="s">
        <v>63</v>
      </c>
      <c r="B237" s="9" t="s">
        <v>23</v>
      </c>
      <c r="C237" s="3" t="s">
        <v>24</v>
      </c>
      <c r="D237" s="5">
        <v>0.106</v>
      </c>
      <c r="E237" s="6">
        <f t="shared" si="14"/>
        <v>477</v>
      </c>
    </row>
    <row r="238" spans="1:5" x14ac:dyDescent="0.25">
      <c r="A238" s="16" t="s">
        <v>63</v>
      </c>
      <c r="B238" s="9" t="s">
        <v>27</v>
      </c>
      <c r="C238" s="3" t="s">
        <v>28</v>
      </c>
      <c r="D238" s="5">
        <v>0.106</v>
      </c>
      <c r="E238" s="6">
        <f t="shared" si="14"/>
        <v>477</v>
      </c>
    </row>
    <row r="239" spans="1:5" x14ac:dyDescent="0.25">
      <c r="A239" s="16" t="s">
        <v>63</v>
      </c>
      <c r="B239" s="9" t="s">
        <v>30</v>
      </c>
      <c r="C239" s="3" t="s">
        <v>30</v>
      </c>
      <c r="D239" s="5">
        <v>0.106</v>
      </c>
      <c r="E239" s="6">
        <f t="shared" si="14"/>
        <v>477</v>
      </c>
    </row>
    <row r="240" spans="1:5" x14ac:dyDescent="0.25">
      <c r="A240" s="16" t="s">
        <v>69</v>
      </c>
      <c r="B240" s="9"/>
      <c r="C240" s="15" t="s">
        <v>70</v>
      </c>
      <c r="D240" s="5">
        <v>1.17E-2</v>
      </c>
      <c r="E240" s="6">
        <f t="shared" si="14"/>
        <v>52.65</v>
      </c>
    </row>
    <row r="241" spans="1:5" x14ac:dyDescent="0.25">
      <c r="A241" s="16"/>
      <c r="B241" s="9" t="s">
        <v>32</v>
      </c>
      <c r="C241" s="15" t="s">
        <v>32</v>
      </c>
      <c r="D241" s="5">
        <v>0.27489999999999998</v>
      </c>
      <c r="E241" s="6">
        <f t="shared" si="14"/>
        <v>1237.05</v>
      </c>
    </row>
    <row r="242" spans="1:5" x14ac:dyDescent="0.25">
      <c r="A242" s="16" t="s">
        <v>69</v>
      </c>
      <c r="B242" s="9" t="s">
        <v>34</v>
      </c>
      <c r="C242" s="15" t="s">
        <v>35</v>
      </c>
      <c r="D242" s="5">
        <v>0.21199999999999999</v>
      </c>
      <c r="E242" s="6">
        <f t="shared" si="14"/>
        <v>954</v>
      </c>
    </row>
    <row r="243" spans="1:5" x14ac:dyDescent="0.25">
      <c r="A243" s="2"/>
      <c r="B243" s="12"/>
      <c r="C243" s="2"/>
      <c r="D243" s="13">
        <f>SUM(D231:D242)</f>
        <v>1.00004</v>
      </c>
      <c r="E243" s="19">
        <v>4500</v>
      </c>
    </row>
    <row r="250" spans="1:5" x14ac:dyDescent="0.25">
      <c r="A250" s="54" t="s">
        <v>83</v>
      </c>
      <c r="B250" s="54"/>
      <c r="C250" s="54"/>
      <c r="D250" s="54"/>
      <c r="E250" s="54"/>
    </row>
    <row r="251" spans="1:5" x14ac:dyDescent="0.25">
      <c r="A251" s="59" t="s">
        <v>84</v>
      </c>
      <c r="B251" s="59"/>
      <c r="C251" s="59"/>
      <c r="D251" s="59"/>
      <c r="E251" s="59"/>
    </row>
    <row r="252" spans="1:5" x14ac:dyDescent="0.25">
      <c r="A252" s="3" t="s">
        <v>3</v>
      </c>
      <c r="B252" s="3" t="s">
        <v>4</v>
      </c>
      <c r="C252" s="3" t="s">
        <v>5</v>
      </c>
      <c r="D252" s="3" t="s">
        <v>6</v>
      </c>
      <c r="E252" s="3" t="s">
        <v>7</v>
      </c>
    </row>
    <row r="253" spans="1:5" x14ac:dyDescent="0.25">
      <c r="A253" s="55" t="s">
        <v>62</v>
      </c>
      <c r="B253" s="4" t="s">
        <v>10</v>
      </c>
      <c r="C253" s="3" t="s">
        <v>10</v>
      </c>
      <c r="D253" s="5">
        <v>0.17330000000000001</v>
      </c>
      <c r="E253" s="6">
        <f t="shared" ref="E253:E265" si="15">(E$266*D253)</f>
        <v>433.25</v>
      </c>
    </row>
    <row r="254" spans="1:5" x14ac:dyDescent="0.25">
      <c r="A254" s="56"/>
      <c r="B254" s="4" t="s">
        <v>12</v>
      </c>
      <c r="C254" s="3" t="s">
        <v>13</v>
      </c>
      <c r="D254" s="22">
        <v>1.6000000000000001E-3</v>
      </c>
      <c r="E254" s="6">
        <f t="shared" si="15"/>
        <v>4</v>
      </c>
    </row>
    <row r="255" spans="1:5" x14ac:dyDescent="0.25">
      <c r="A255" s="56"/>
      <c r="B255" s="9"/>
      <c r="C255" s="3" t="s">
        <v>77</v>
      </c>
      <c r="D255" s="5">
        <v>2E-3</v>
      </c>
      <c r="E255" s="6">
        <f t="shared" si="15"/>
        <v>5</v>
      </c>
    </row>
    <row r="256" spans="1:5" x14ac:dyDescent="0.25">
      <c r="A256" s="56"/>
      <c r="B256" s="9"/>
      <c r="C256" s="3" t="s">
        <v>51</v>
      </c>
      <c r="D256" s="5">
        <v>1E-3</v>
      </c>
      <c r="E256" s="6">
        <f t="shared" si="15"/>
        <v>2.5</v>
      </c>
    </row>
    <row r="257" spans="1:5" x14ac:dyDescent="0.25">
      <c r="A257" s="56"/>
      <c r="B257" s="9"/>
      <c r="C257" s="3" t="s">
        <v>20</v>
      </c>
      <c r="D257" s="5">
        <v>2E-3</v>
      </c>
      <c r="E257" s="6">
        <f t="shared" si="15"/>
        <v>5</v>
      </c>
    </row>
    <row r="258" spans="1:5" x14ac:dyDescent="0.25">
      <c r="A258" s="57"/>
      <c r="B258" s="9"/>
      <c r="C258" s="3" t="s">
        <v>52</v>
      </c>
      <c r="D258" s="5">
        <v>2.5000000000000001E-3</v>
      </c>
      <c r="E258" s="6">
        <f t="shared" si="15"/>
        <v>6.25</v>
      </c>
    </row>
    <row r="259" spans="1:5" x14ac:dyDescent="0.25">
      <c r="A259" s="16" t="s">
        <v>63</v>
      </c>
      <c r="B259" s="9" t="s">
        <v>19</v>
      </c>
      <c r="C259" s="3" t="s">
        <v>20</v>
      </c>
      <c r="D259" s="5">
        <v>1E-3</v>
      </c>
      <c r="E259" s="6">
        <f t="shared" si="15"/>
        <v>2.5</v>
      </c>
    </row>
    <row r="260" spans="1:5" x14ac:dyDescent="0.25">
      <c r="A260" s="16" t="s">
        <v>63</v>
      </c>
      <c r="B260" s="9" t="s">
        <v>23</v>
      </c>
      <c r="C260" s="3" t="s">
        <v>24</v>
      </c>
      <c r="D260" s="5">
        <v>0.106</v>
      </c>
      <c r="E260" s="6">
        <f t="shared" si="15"/>
        <v>265</v>
      </c>
    </row>
    <row r="261" spans="1:5" x14ac:dyDescent="0.25">
      <c r="A261" s="16" t="s">
        <v>63</v>
      </c>
      <c r="B261" s="9" t="s">
        <v>27</v>
      </c>
      <c r="C261" s="3" t="s">
        <v>28</v>
      </c>
      <c r="D261" s="5">
        <v>0.106</v>
      </c>
      <c r="E261" s="6">
        <f t="shared" si="15"/>
        <v>265</v>
      </c>
    </row>
    <row r="262" spans="1:5" x14ac:dyDescent="0.25">
      <c r="A262" s="16" t="s">
        <v>63</v>
      </c>
      <c r="B262" s="9" t="s">
        <v>30</v>
      </c>
      <c r="C262" s="3" t="s">
        <v>30</v>
      </c>
      <c r="D262" s="5">
        <v>0.106</v>
      </c>
      <c r="E262" s="6">
        <f t="shared" si="15"/>
        <v>265</v>
      </c>
    </row>
    <row r="263" spans="1:5" x14ac:dyDescent="0.25">
      <c r="A263" s="16" t="s">
        <v>69</v>
      </c>
      <c r="B263" s="9"/>
      <c r="C263" s="15" t="s">
        <v>70</v>
      </c>
      <c r="D263" s="5">
        <v>1.17E-2</v>
      </c>
      <c r="E263" s="6">
        <f t="shared" si="15"/>
        <v>29.25</v>
      </c>
    </row>
    <row r="264" spans="1:5" x14ac:dyDescent="0.25">
      <c r="A264" s="16"/>
      <c r="B264" s="9" t="s">
        <v>32</v>
      </c>
      <c r="C264" s="15" t="s">
        <v>32</v>
      </c>
      <c r="D264" s="5">
        <v>0.27489999999999998</v>
      </c>
      <c r="E264" s="6">
        <f t="shared" si="15"/>
        <v>687.25</v>
      </c>
    </row>
    <row r="265" spans="1:5" x14ac:dyDescent="0.25">
      <c r="A265" s="16" t="s">
        <v>69</v>
      </c>
      <c r="B265" s="9" t="s">
        <v>34</v>
      </c>
      <c r="C265" s="15" t="s">
        <v>35</v>
      </c>
      <c r="D265" s="5">
        <v>0.21199999999999999</v>
      </c>
      <c r="E265" s="6">
        <f t="shared" si="15"/>
        <v>530</v>
      </c>
    </row>
    <row r="266" spans="1:5" x14ac:dyDescent="0.25">
      <c r="A266" s="2"/>
      <c r="B266" s="12"/>
      <c r="C266" s="2"/>
      <c r="D266" s="23">
        <f>SUM(D253:D265)</f>
        <v>1</v>
      </c>
      <c r="E266" s="19">
        <v>2500</v>
      </c>
    </row>
    <row r="267" spans="1:5" x14ac:dyDescent="0.25">
      <c r="E267" s="24">
        <f>SUM(E253:E265)</f>
        <v>2500</v>
      </c>
    </row>
    <row r="270" spans="1:5" x14ac:dyDescent="0.25">
      <c r="A270" s="17" t="s">
        <v>85</v>
      </c>
    </row>
    <row r="271" spans="1:5" x14ac:dyDescent="0.25">
      <c r="A271" t="s">
        <v>86</v>
      </c>
    </row>
    <row r="272" spans="1:5" x14ac:dyDescent="0.25">
      <c r="A272" t="s">
        <v>87</v>
      </c>
    </row>
    <row r="277" spans="1:5" x14ac:dyDescent="0.25">
      <c r="A277" s="54" t="s">
        <v>88</v>
      </c>
      <c r="B277" s="54"/>
      <c r="C277" s="54"/>
      <c r="D277" s="54"/>
      <c r="E277" s="54"/>
    </row>
    <row r="278" spans="1:5" x14ac:dyDescent="0.25">
      <c r="A278" s="59" t="s">
        <v>89</v>
      </c>
      <c r="B278" s="59"/>
      <c r="C278" s="59"/>
      <c r="D278" s="59"/>
      <c r="E278" s="59"/>
    </row>
    <row r="279" spans="1:5" x14ac:dyDescent="0.25">
      <c r="A279" s="3" t="s">
        <v>3</v>
      </c>
      <c r="B279" s="3" t="s">
        <v>4</v>
      </c>
      <c r="C279" s="3" t="s">
        <v>5</v>
      </c>
      <c r="D279" s="3" t="s">
        <v>6</v>
      </c>
      <c r="E279" s="3" t="s">
        <v>7</v>
      </c>
    </row>
    <row r="280" spans="1:5" x14ac:dyDescent="0.25">
      <c r="A280" s="55" t="s">
        <v>62</v>
      </c>
      <c r="B280" s="4" t="s">
        <v>10</v>
      </c>
      <c r="C280" s="3" t="s">
        <v>10</v>
      </c>
      <c r="D280" s="5">
        <v>0.17399999999999999</v>
      </c>
      <c r="E280" s="6">
        <f t="shared" ref="E280:E292" si="16">(E$293*D280)</f>
        <v>469.79999999999995</v>
      </c>
    </row>
    <row r="281" spans="1:5" x14ac:dyDescent="0.25">
      <c r="A281" s="56"/>
      <c r="B281" s="4" t="s">
        <v>12</v>
      </c>
      <c r="C281" s="3" t="s">
        <v>13</v>
      </c>
      <c r="D281" s="22">
        <v>1.6000000000000001E-3</v>
      </c>
      <c r="E281" s="6">
        <f t="shared" si="16"/>
        <v>4.32</v>
      </c>
    </row>
    <row r="282" spans="1:5" x14ac:dyDescent="0.25">
      <c r="A282" s="56"/>
      <c r="B282" s="9"/>
      <c r="C282" s="3" t="s">
        <v>77</v>
      </c>
      <c r="D282" s="5">
        <v>2E-3</v>
      </c>
      <c r="E282" s="6">
        <f t="shared" si="16"/>
        <v>5.4</v>
      </c>
    </row>
    <row r="283" spans="1:5" x14ac:dyDescent="0.25">
      <c r="A283" s="56"/>
      <c r="B283" s="9"/>
      <c r="C283" s="3" t="s">
        <v>51</v>
      </c>
      <c r="D283" s="5">
        <v>8.0000000000000004E-4</v>
      </c>
      <c r="E283" s="6">
        <f t="shared" si="16"/>
        <v>2.16</v>
      </c>
    </row>
    <row r="284" spans="1:5" x14ac:dyDescent="0.25">
      <c r="A284" s="56"/>
      <c r="B284" s="9"/>
      <c r="C284" s="3" t="s">
        <v>20</v>
      </c>
      <c r="D284" s="5">
        <v>2E-3</v>
      </c>
      <c r="E284" s="6">
        <f t="shared" si="16"/>
        <v>5.4</v>
      </c>
    </row>
    <row r="285" spans="1:5" x14ac:dyDescent="0.25">
      <c r="A285" s="57"/>
      <c r="B285" s="9"/>
      <c r="C285" s="3" t="s">
        <v>52</v>
      </c>
      <c r="D285" s="5">
        <v>2E-3</v>
      </c>
      <c r="E285" s="6">
        <f t="shared" si="16"/>
        <v>5.4</v>
      </c>
    </row>
    <row r="286" spans="1:5" x14ac:dyDescent="0.25">
      <c r="A286" s="16" t="s">
        <v>63</v>
      </c>
      <c r="B286" s="9" t="s">
        <v>19</v>
      </c>
      <c r="C286" s="3" t="s">
        <v>20</v>
      </c>
      <c r="D286" s="5">
        <v>1E-3</v>
      </c>
      <c r="E286" s="6">
        <f t="shared" si="16"/>
        <v>2.7</v>
      </c>
    </row>
    <row r="287" spans="1:5" x14ac:dyDescent="0.25">
      <c r="A287" s="16" t="s">
        <v>63</v>
      </c>
      <c r="B287" s="9" t="s">
        <v>23</v>
      </c>
      <c r="C287" s="3" t="s">
        <v>24</v>
      </c>
      <c r="D287" s="5">
        <v>0.106</v>
      </c>
      <c r="E287" s="6">
        <f t="shared" si="16"/>
        <v>286.2</v>
      </c>
    </row>
    <row r="288" spans="1:5" x14ac:dyDescent="0.25">
      <c r="A288" s="16" t="s">
        <v>63</v>
      </c>
      <c r="B288" s="9" t="s">
        <v>27</v>
      </c>
      <c r="C288" s="3" t="s">
        <v>28</v>
      </c>
      <c r="D288" s="5">
        <v>0.106</v>
      </c>
      <c r="E288" s="6">
        <f t="shared" si="16"/>
        <v>286.2</v>
      </c>
    </row>
    <row r="289" spans="1:5" x14ac:dyDescent="0.25">
      <c r="A289" s="16" t="s">
        <v>63</v>
      </c>
      <c r="B289" s="9" t="s">
        <v>30</v>
      </c>
      <c r="C289" s="3" t="s">
        <v>30</v>
      </c>
      <c r="D289" s="5">
        <v>0.106</v>
      </c>
      <c r="E289" s="6">
        <f t="shared" si="16"/>
        <v>286.2</v>
      </c>
    </row>
    <row r="290" spans="1:5" x14ac:dyDescent="0.25">
      <c r="A290" s="16" t="s">
        <v>69</v>
      </c>
      <c r="B290" s="9"/>
      <c r="C290" s="15" t="s">
        <v>70</v>
      </c>
      <c r="D290" s="5">
        <v>1.17E-2</v>
      </c>
      <c r="E290" s="6">
        <f t="shared" si="16"/>
        <v>31.59</v>
      </c>
    </row>
    <row r="291" spans="1:5" x14ac:dyDescent="0.25">
      <c r="A291" s="16"/>
      <c r="B291" s="9" t="s">
        <v>32</v>
      </c>
      <c r="C291" s="15" t="s">
        <v>32</v>
      </c>
      <c r="D291" s="5">
        <v>0.27489999999999998</v>
      </c>
      <c r="E291" s="6">
        <f t="shared" si="16"/>
        <v>742.2299999999999</v>
      </c>
    </row>
    <row r="292" spans="1:5" x14ac:dyDescent="0.25">
      <c r="A292" s="16" t="s">
        <v>69</v>
      </c>
      <c r="B292" s="9" t="s">
        <v>34</v>
      </c>
      <c r="C292" s="15" t="s">
        <v>35</v>
      </c>
      <c r="D292" s="5">
        <v>0.21199999999999999</v>
      </c>
      <c r="E292" s="6">
        <f t="shared" si="16"/>
        <v>572.4</v>
      </c>
    </row>
    <row r="293" spans="1:5" x14ac:dyDescent="0.25">
      <c r="A293" s="2"/>
      <c r="B293" s="12"/>
      <c r="C293" s="2"/>
      <c r="D293" s="23">
        <f>SUM(D280:D292)</f>
        <v>1</v>
      </c>
      <c r="E293" s="19">
        <v>2700</v>
      </c>
    </row>
    <row r="294" spans="1:5" x14ac:dyDescent="0.25">
      <c r="E294" s="24">
        <f>SUM(E280:E292)</f>
        <v>2700</v>
      </c>
    </row>
    <row r="295" spans="1:5" x14ac:dyDescent="0.25">
      <c r="A295" t="s">
        <v>90</v>
      </c>
    </row>
    <row r="300" spans="1:5" x14ac:dyDescent="0.25">
      <c r="A300" s="54" t="s">
        <v>91</v>
      </c>
      <c r="B300" s="54"/>
      <c r="C300" s="54"/>
      <c r="D300" s="54"/>
      <c r="E300" s="54"/>
    </row>
    <row r="301" spans="1:5" x14ac:dyDescent="0.25">
      <c r="A301" s="59" t="s">
        <v>92</v>
      </c>
      <c r="B301" s="59"/>
      <c r="C301" s="59"/>
      <c r="D301" s="59"/>
      <c r="E301" s="59"/>
    </row>
    <row r="302" spans="1:5" x14ac:dyDescent="0.25">
      <c r="A302" s="3" t="s">
        <v>3</v>
      </c>
      <c r="B302" s="3" t="s">
        <v>4</v>
      </c>
      <c r="C302" s="3" t="s">
        <v>5</v>
      </c>
      <c r="D302" s="3" t="s">
        <v>6</v>
      </c>
      <c r="E302" s="3" t="s">
        <v>7</v>
      </c>
    </row>
    <row r="303" spans="1:5" x14ac:dyDescent="0.25">
      <c r="A303" s="55" t="s">
        <v>62</v>
      </c>
      <c r="B303" s="4" t="s">
        <v>10</v>
      </c>
      <c r="C303" s="3" t="s">
        <v>10</v>
      </c>
      <c r="D303" s="5">
        <v>0.17399999999999999</v>
      </c>
      <c r="E303" s="6">
        <f t="shared" ref="E303:E315" si="17">(E$316*D303)</f>
        <v>609</v>
      </c>
    </row>
    <row r="304" spans="1:5" x14ac:dyDescent="0.25">
      <c r="A304" s="56"/>
      <c r="B304" s="4" t="s">
        <v>12</v>
      </c>
      <c r="C304" s="3" t="s">
        <v>13</v>
      </c>
      <c r="D304" s="22">
        <v>1.6000000000000001E-3</v>
      </c>
      <c r="E304" s="6">
        <f t="shared" si="17"/>
        <v>5.6000000000000005</v>
      </c>
    </row>
    <row r="305" spans="1:5" x14ac:dyDescent="0.25">
      <c r="A305" s="56"/>
      <c r="B305" s="9"/>
      <c r="C305" s="3" t="s">
        <v>77</v>
      </c>
      <c r="D305" s="5">
        <v>2E-3</v>
      </c>
      <c r="E305" s="6">
        <f t="shared" si="17"/>
        <v>7</v>
      </c>
    </row>
    <row r="306" spans="1:5" x14ac:dyDescent="0.25">
      <c r="A306" s="56"/>
      <c r="B306" s="9"/>
      <c r="C306" s="3" t="s">
        <v>51</v>
      </c>
      <c r="D306" s="5">
        <v>8.0000000000000004E-4</v>
      </c>
      <c r="E306" s="6">
        <f t="shared" si="17"/>
        <v>2.8000000000000003</v>
      </c>
    </row>
    <row r="307" spans="1:5" x14ac:dyDescent="0.25">
      <c r="A307" s="56"/>
      <c r="B307" s="9"/>
      <c r="C307" s="3" t="s">
        <v>20</v>
      </c>
      <c r="D307" s="5">
        <v>2E-3</v>
      </c>
      <c r="E307" s="6">
        <f t="shared" si="17"/>
        <v>7</v>
      </c>
    </row>
    <row r="308" spans="1:5" x14ac:dyDescent="0.25">
      <c r="A308" s="57"/>
      <c r="B308" s="9"/>
      <c r="C308" s="3" t="s">
        <v>52</v>
      </c>
      <c r="D308" s="5">
        <v>2E-3</v>
      </c>
      <c r="E308" s="6">
        <f t="shared" si="17"/>
        <v>7</v>
      </c>
    </row>
    <row r="309" spans="1:5" x14ac:dyDescent="0.25">
      <c r="A309" s="16" t="s">
        <v>63</v>
      </c>
      <c r="B309" s="9" t="s">
        <v>19</v>
      </c>
      <c r="C309" s="3" t="s">
        <v>20</v>
      </c>
      <c r="D309" s="5">
        <v>1E-3</v>
      </c>
      <c r="E309" s="6">
        <f t="shared" si="17"/>
        <v>3.5</v>
      </c>
    </row>
    <row r="310" spans="1:5" x14ac:dyDescent="0.25">
      <c r="A310" s="16" t="s">
        <v>63</v>
      </c>
      <c r="B310" s="9" t="s">
        <v>23</v>
      </c>
      <c r="C310" s="3" t="s">
        <v>24</v>
      </c>
      <c r="D310" s="5">
        <v>0.106</v>
      </c>
      <c r="E310" s="6">
        <f t="shared" si="17"/>
        <v>371</v>
      </c>
    </row>
    <row r="311" spans="1:5" x14ac:dyDescent="0.25">
      <c r="A311" s="16" t="s">
        <v>63</v>
      </c>
      <c r="B311" s="9" t="s">
        <v>27</v>
      </c>
      <c r="C311" s="3" t="s">
        <v>28</v>
      </c>
      <c r="D311" s="5">
        <v>0.106</v>
      </c>
      <c r="E311" s="6">
        <f t="shared" si="17"/>
        <v>371</v>
      </c>
    </row>
    <row r="312" spans="1:5" x14ac:dyDescent="0.25">
      <c r="A312" s="16" t="s">
        <v>63</v>
      </c>
      <c r="B312" s="9" t="s">
        <v>30</v>
      </c>
      <c r="C312" s="3" t="s">
        <v>30</v>
      </c>
      <c r="D312" s="5">
        <v>0.106</v>
      </c>
      <c r="E312" s="6">
        <f t="shared" si="17"/>
        <v>371</v>
      </c>
    </row>
    <row r="313" spans="1:5" x14ac:dyDescent="0.25">
      <c r="A313" s="16" t="s">
        <v>69</v>
      </c>
      <c r="B313" s="9"/>
      <c r="C313" s="15" t="s">
        <v>70</v>
      </c>
      <c r="D313" s="5">
        <v>1.17E-2</v>
      </c>
      <c r="E313" s="6">
        <f t="shared" si="17"/>
        <v>40.950000000000003</v>
      </c>
    </row>
    <row r="314" spans="1:5" x14ac:dyDescent="0.25">
      <c r="A314" s="16"/>
      <c r="B314" s="9" t="s">
        <v>32</v>
      </c>
      <c r="C314" s="15" t="s">
        <v>32</v>
      </c>
      <c r="D314" s="5">
        <v>0.27489999999999998</v>
      </c>
      <c r="E314" s="6">
        <f t="shared" si="17"/>
        <v>962.15</v>
      </c>
    </row>
    <row r="315" spans="1:5" x14ac:dyDescent="0.25">
      <c r="A315" s="16" t="s">
        <v>69</v>
      </c>
      <c r="B315" s="9" t="s">
        <v>34</v>
      </c>
      <c r="C315" s="15" t="s">
        <v>35</v>
      </c>
      <c r="D315" s="5">
        <v>0.21199999999999999</v>
      </c>
      <c r="E315" s="6">
        <f t="shared" si="17"/>
        <v>742</v>
      </c>
    </row>
    <row r="316" spans="1:5" x14ac:dyDescent="0.25">
      <c r="A316" s="2"/>
      <c r="B316" s="12"/>
      <c r="C316" s="2"/>
      <c r="D316" s="23">
        <f>SUM(D303:D315)</f>
        <v>1</v>
      </c>
      <c r="E316" s="19">
        <v>3500</v>
      </c>
    </row>
    <row r="317" spans="1:5" x14ac:dyDescent="0.25">
      <c r="E317" s="24">
        <f>SUM(E303:E315)</f>
        <v>3500</v>
      </c>
    </row>
    <row r="321" spans="1:5" x14ac:dyDescent="0.25">
      <c r="A321" s="54" t="s">
        <v>93</v>
      </c>
      <c r="B321" s="54"/>
      <c r="C321" s="54"/>
      <c r="D321" s="54"/>
      <c r="E321" s="54"/>
    </row>
    <row r="322" spans="1:5" x14ac:dyDescent="0.25">
      <c r="A322" s="59" t="s">
        <v>92</v>
      </c>
      <c r="B322" s="59"/>
      <c r="C322" s="59"/>
      <c r="D322" s="59"/>
      <c r="E322" s="59"/>
    </row>
    <row r="323" spans="1:5" x14ac:dyDescent="0.25">
      <c r="A323" s="3" t="s">
        <v>3</v>
      </c>
      <c r="B323" s="3" t="s">
        <v>4</v>
      </c>
      <c r="C323" s="3" t="s">
        <v>5</v>
      </c>
      <c r="D323" s="3" t="s">
        <v>6</v>
      </c>
      <c r="E323" s="3" t="s">
        <v>7</v>
      </c>
    </row>
    <row r="324" spans="1:5" x14ac:dyDescent="0.25">
      <c r="A324" s="55" t="s">
        <v>62</v>
      </c>
      <c r="B324" s="4" t="s">
        <v>10</v>
      </c>
      <c r="C324" s="3" t="s">
        <v>10</v>
      </c>
      <c r="D324" s="5">
        <v>0.17399999999999999</v>
      </c>
      <c r="E324" s="6">
        <f t="shared" ref="E324:E336" si="18">(E$316*D324)</f>
        <v>609</v>
      </c>
    </row>
    <row r="325" spans="1:5" x14ac:dyDescent="0.25">
      <c r="A325" s="56"/>
      <c r="B325" s="4" t="s">
        <v>12</v>
      </c>
      <c r="C325" s="3" t="s">
        <v>13</v>
      </c>
      <c r="D325" s="22">
        <v>1.6000000000000001E-3</v>
      </c>
      <c r="E325" s="6">
        <f t="shared" si="18"/>
        <v>5.6000000000000005</v>
      </c>
    </row>
    <row r="326" spans="1:5" x14ac:dyDescent="0.25">
      <c r="A326" s="56"/>
      <c r="B326" s="9"/>
      <c r="C326" s="3" t="s">
        <v>77</v>
      </c>
      <c r="D326" s="5">
        <v>2E-3</v>
      </c>
      <c r="E326" s="6">
        <f t="shared" si="18"/>
        <v>7</v>
      </c>
    </row>
    <row r="327" spans="1:5" x14ac:dyDescent="0.25">
      <c r="A327" s="56"/>
      <c r="B327" s="9"/>
      <c r="C327" s="3" t="s">
        <v>51</v>
      </c>
      <c r="D327" s="5">
        <v>8.0000000000000004E-4</v>
      </c>
      <c r="E327" s="6">
        <f t="shared" si="18"/>
        <v>2.8000000000000003</v>
      </c>
    </row>
    <row r="328" spans="1:5" x14ac:dyDescent="0.25">
      <c r="A328" s="56"/>
      <c r="B328" s="9"/>
      <c r="C328" s="3" t="s">
        <v>20</v>
      </c>
      <c r="D328" s="5">
        <v>2E-3</v>
      </c>
      <c r="E328" s="6">
        <f t="shared" si="18"/>
        <v>7</v>
      </c>
    </row>
    <row r="329" spans="1:5" x14ac:dyDescent="0.25">
      <c r="A329" s="57"/>
      <c r="B329" s="9"/>
      <c r="C329" s="3" t="s">
        <v>52</v>
      </c>
      <c r="D329" s="5">
        <v>2E-3</v>
      </c>
      <c r="E329" s="6">
        <f t="shared" si="18"/>
        <v>7</v>
      </c>
    </row>
    <row r="330" spans="1:5" x14ac:dyDescent="0.25">
      <c r="A330" s="16" t="s">
        <v>63</v>
      </c>
      <c r="B330" s="9" t="s">
        <v>19</v>
      </c>
      <c r="C330" s="3" t="s">
        <v>20</v>
      </c>
      <c r="D330" s="5">
        <v>1E-3</v>
      </c>
      <c r="E330" s="6">
        <f t="shared" si="18"/>
        <v>3.5</v>
      </c>
    </row>
    <row r="331" spans="1:5" x14ac:dyDescent="0.25">
      <c r="A331" s="16" t="s">
        <v>63</v>
      </c>
      <c r="B331" s="9" t="s">
        <v>23</v>
      </c>
      <c r="C331" s="3" t="s">
        <v>24</v>
      </c>
      <c r="D331" s="5">
        <v>0.106</v>
      </c>
      <c r="E331" s="6">
        <f t="shared" si="18"/>
        <v>371</v>
      </c>
    </row>
    <row r="332" spans="1:5" x14ac:dyDescent="0.25">
      <c r="A332" s="16" t="s">
        <v>63</v>
      </c>
      <c r="B332" s="9" t="s">
        <v>27</v>
      </c>
      <c r="C332" s="3" t="s">
        <v>28</v>
      </c>
      <c r="D332" s="5">
        <v>0.106</v>
      </c>
      <c r="E332" s="6">
        <f t="shared" si="18"/>
        <v>371</v>
      </c>
    </row>
    <row r="333" spans="1:5" x14ac:dyDescent="0.25">
      <c r="A333" s="16" t="s">
        <v>63</v>
      </c>
      <c r="B333" s="9" t="s">
        <v>30</v>
      </c>
      <c r="C333" s="3" t="s">
        <v>30</v>
      </c>
      <c r="D333" s="5">
        <v>0.106</v>
      </c>
      <c r="E333" s="6">
        <f t="shared" si="18"/>
        <v>371</v>
      </c>
    </row>
    <row r="334" spans="1:5" x14ac:dyDescent="0.25">
      <c r="A334" s="16" t="s">
        <v>69</v>
      </c>
      <c r="B334" s="9"/>
      <c r="C334" s="15" t="s">
        <v>70</v>
      </c>
      <c r="D334" s="5">
        <v>1.17E-2</v>
      </c>
      <c r="E334" s="6">
        <f t="shared" si="18"/>
        <v>40.950000000000003</v>
      </c>
    </row>
    <row r="335" spans="1:5" x14ac:dyDescent="0.25">
      <c r="A335" s="16"/>
      <c r="B335" s="9" t="s">
        <v>32</v>
      </c>
      <c r="C335" s="15" t="s">
        <v>32</v>
      </c>
      <c r="D335" s="5">
        <v>0.27489999999999998</v>
      </c>
      <c r="E335" s="6">
        <f t="shared" si="18"/>
        <v>962.15</v>
      </c>
    </row>
    <row r="336" spans="1:5" x14ac:dyDescent="0.25">
      <c r="A336" s="16" t="s">
        <v>69</v>
      </c>
      <c r="B336" s="9" t="s">
        <v>34</v>
      </c>
      <c r="C336" s="15" t="s">
        <v>35</v>
      </c>
      <c r="D336" s="5">
        <v>0.21199999999999999</v>
      </c>
      <c r="E336" s="6">
        <f t="shared" si="18"/>
        <v>742</v>
      </c>
    </row>
    <row r="337" spans="1:13" x14ac:dyDescent="0.25">
      <c r="A337" s="2"/>
      <c r="B337" s="12"/>
      <c r="C337" s="2"/>
      <c r="D337" s="23">
        <f>SUM(D324:D336)</f>
        <v>1</v>
      </c>
      <c r="E337" s="19">
        <v>3500</v>
      </c>
    </row>
    <row r="338" spans="1:13" x14ac:dyDescent="0.25">
      <c r="E338" s="24">
        <f>SUM(E324:E336)</f>
        <v>3500</v>
      </c>
    </row>
    <row r="343" spans="1:13" x14ac:dyDescent="0.25">
      <c r="A343" s="54" t="s">
        <v>94</v>
      </c>
      <c r="B343" s="54"/>
      <c r="C343" s="54"/>
      <c r="D343" s="54"/>
      <c r="E343" s="54"/>
      <c r="I343" s="54" t="s">
        <v>95</v>
      </c>
      <c r="J343" s="54"/>
      <c r="K343" s="54"/>
      <c r="L343" s="54"/>
      <c r="M343" s="54"/>
    </row>
    <row r="344" spans="1:13" x14ac:dyDescent="0.25">
      <c r="A344" s="59" t="s">
        <v>96</v>
      </c>
      <c r="B344" s="59"/>
      <c r="C344" s="59"/>
      <c r="D344" s="59"/>
      <c r="E344" s="59"/>
      <c r="I344" s="59" t="s">
        <v>96</v>
      </c>
      <c r="J344" s="59"/>
      <c r="K344" s="59"/>
      <c r="L344" s="59"/>
      <c r="M344" s="59"/>
    </row>
    <row r="345" spans="1:13" x14ac:dyDescent="0.25">
      <c r="A345" s="3" t="s">
        <v>3</v>
      </c>
      <c r="B345" s="3" t="s">
        <v>4</v>
      </c>
      <c r="C345" s="3" t="s">
        <v>5</v>
      </c>
      <c r="D345" s="3" t="s">
        <v>6</v>
      </c>
      <c r="E345" s="3" t="s">
        <v>7</v>
      </c>
      <c r="I345" s="3" t="s">
        <v>3</v>
      </c>
      <c r="J345" s="3" t="s">
        <v>97</v>
      </c>
      <c r="L345" s="3" t="s">
        <v>5</v>
      </c>
      <c r="M345" s="3" t="s">
        <v>7</v>
      </c>
    </row>
    <row r="346" spans="1:13" x14ac:dyDescent="0.25">
      <c r="A346" s="55" t="s">
        <v>62</v>
      </c>
      <c r="B346" s="4" t="s">
        <v>10</v>
      </c>
      <c r="C346" s="3" t="s">
        <v>10</v>
      </c>
      <c r="D346" s="5">
        <v>0.17580000000000001</v>
      </c>
      <c r="E346" s="6">
        <f>(E$359*D346)</f>
        <v>175.8</v>
      </c>
      <c r="I346" s="60" t="s">
        <v>98</v>
      </c>
      <c r="J346" s="46">
        <v>0.38750000000000001</v>
      </c>
      <c r="K346" s="3" t="s">
        <v>10</v>
      </c>
      <c r="L346" s="5">
        <v>0.17580000000000001</v>
      </c>
      <c r="M346" s="6">
        <f>(M$359*L346)</f>
        <v>175.8</v>
      </c>
    </row>
    <row r="347" spans="1:13" x14ac:dyDescent="0.25">
      <c r="A347" s="56"/>
      <c r="B347" s="4" t="s">
        <v>12</v>
      </c>
      <c r="C347" s="3" t="s">
        <v>13</v>
      </c>
      <c r="D347" s="22">
        <v>1.6000000000000001E-3</v>
      </c>
      <c r="E347" s="6">
        <f>(E$359*D347)</f>
        <v>1.6</v>
      </c>
      <c r="I347" s="61"/>
      <c r="J347" s="46">
        <v>0.39027777777777778</v>
      </c>
      <c r="K347" s="3" t="s">
        <v>13</v>
      </c>
      <c r="L347" s="22">
        <v>1.6000000000000001E-3</v>
      </c>
      <c r="M347" s="6">
        <f>(M$359*L347)</f>
        <v>1.6</v>
      </c>
    </row>
    <row r="348" spans="1:13" x14ac:dyDescent="0.25">
      <c r="A348" s="56"/>
      <c r="B348" s="4"/>
      <c r="C348" s="3"/>
      <c r="D348" s="22"/>
      <c r="E348" s="6"/>
      <c r="I348" s="61"/>
      <c r="J348" s="46">
        <v>0.39444444444444443</v>
      </c>
      <c r="K348" s="3" t="s">
        <v>20</v>
      </c>
      <c r="L348" s="22">
        <v>1E-3</v>
      </c>
      <c r="M348" s="6">
        <f>(M$359*L358)</f>
        <v>1</v>
      </c>
    </row>
    <row r="349" spans="1:13" x14ac:dyDescent="0.25">
      <c r="A349" s="56"/>
      <c r="B349" s="9"/>
      <c r="C349" s="3" t="s">
        <v>77</v>
      </c>
      <c r="D349" s="5">
        <v>2E-3</v>
      </c>
      <c r="E349" s="6">
        <f t="shared" ref="E349:E358" si="19">(E$359*D349)</f>
        <v>2</v>
      </c>
      <c r="I349" s="61"/>
      <c r="J349" s="46">
        <v>0.39930555555555558</v>
      </c>
      <c r="K349" s="3" t="s">
        <v>77</v>
      </c>
      <c r="L349" s="5">
        <v>2E-3</v>
      </c>
      <c r="M349" s="6">
        <f t="shared" ref="M349:M358" si="20">(M$359*L349)</f>
        <v>2</v>
      </c>
    </row>
    <row r="350" spans="1:13" x14ac:dyDescent="0.25">
      <c r="A350" s="56"/>
      <c r="B350" s="9"/>
      <c r="C350" s="3" t="s">
        <v>51</v>
      </c>
      <c r="D350" s="5">
        <v>1E-3</v>
      </c>
      <c r="E350" s="6">
        <f t="shared" si="19"/>
        <v>1</v>
      </c>
      <c r="I350" s="61"/>
      <c r="J350" s="46">
        <v>0.40486111111111112</v>
      </c>
      <c r="K350" s="3" t="s">
        <v>51</v>
      </c>
      <c r="L350" s="5">
        <v>1E-3</v>
      </c>
      <c r="M350" s="6">
        <f t="shared" si="20"/>
        <v>1</v>
      </c>
    </row>
    <row r="351" spans="1:13" x14ac:dyDescent="0.25">
      <c r="A351" s="56"/>
      <c r="B351" s="9"/>
      <c r="C351" s="3" t="s">
        <v>20</v>
      </c>
      <c r="D351" s="5">
        <v>2E-3</v>
      </c>
      <c r="E351" s="6">
        <f t="shared" si="19"/>
        <v>2</v>
      </c>
      <c r="I351" s="61"/>
      <c r="J351" s="46">
        <v>0.40902777777777777</v>
      </c>
      <c r="K351" s="3" t="s">
        <v>20</v>
      </c>
      <c r="L351" s="5">
        <v>1E-3</v>
      </c>
      <c r="M351" s="6">
        <f t="shared" si="20"/>
        <v>1</v>
      </c>
    </row>
    <row r="352" spans="1:13" x14ac:dyDescent="0.25">
      <c r="A352" s="16" t="s">
        <v>63</v>
      </c>
      <c r="B352" s="9" t="s">
        <v>23</v>
      </c>
      <c r="C352" s="3" t="s">
        <v>24</v>
      </c>
      <c r="D352" s="5">
        <v>0.106</v>
      </c>
      <c r="E352" s="6">
        <f t="shared" si="19"/>
        <v>106</v>
      </c>
      <c r="I352" s="16" t="s">
        <v>99</v>
      </c>
      <c r="J352" s="46">
        <v>0.4152777777777778</v>
      </c>
      <c r="K352" s="3" t="s">
        <v>24</v>
      </c>
      <c r="L352" s="5">
        <v>0.106</v>
      </c>
      <c r="M352" s="6">
        <f t="shared" si="20"/>
        <v>106</v>
      </c>
    </row>
    <row r="353" spans="1:14" x14ac:dyDescent="0.25">
      <c r="A353" s="16" t="s">
        <v>63</v>
      </c>
      <c r="B353" s="9" t="s">
        <v>27</v>
      </c>
      <c r="C353" s="3" t="s">
        <v>28</v>
      </c>
      <c r="D353" s="5">
        <v>0.106</v>
      </c>
      <c r="E353" s="6">
        <f t="shared" si="19"/>
        <v>106</v>
      </c>
      <c r="I353" s="16" t="s">
        <v>100</v>
      </c>
      <c r="J353" s="46">
        <v>0.42777777777777776</v>
      </c>
      <c r="K353" s="3" t="s">
        <v>28</v>
      </c>
      <c r="L353" s="5">
        <v>0.106</v>
      </c>
      <c r="M353" s="6">
        <f t="shared" si="20"/>
        <v>106</v>
      </c>
    </row>
    <row r="354" spans="1:14" x14ac:dyDescent="0.25">
      <c r="A354" s="16" t="s">
        <v>63</v>
      </c>
      <c r="B354" s="9" t="s">
        <v>30</v>
      </c>
      <c r="C354" s="3" t="s">
        <v>30</v>
      </c>
      <c r="D354" s="5">
        <v>0.106</v>
      </c>
      <c r="E354" s="6">
        <f t="shared" si="19"/>
        <v>106</v>
      </c>
      <c r="I354" s="16" t="s">
        <v>101</v>
      </c>
      <c r="J354" s="46">
        <v>0.43541666666666667</v>
      </c>
      <c r="K354" s="3" t="s">
        <v>30</v>
      </c>
      <c r="L354" s="5">
        <v>0.106</v>
      </c>
      <c r="M354" s="6">
        <f t="shared" si="20"/>
        <v>106</v>
      </c>
    </row>
    <row r="355" spans="1:14" x14ac:dyDescent="0.25">
      <c r="A355" s="16" t="s">
        <v>69</v>
      </c>
      <c r="B355" s="9"/>
      <c r="C355" s="15" t="s">
        <v>70</v>
      </c>
      <c r="D355" s="5">
        <v>1.17E-2</v>
      </c>
      <c r="E355" s="6">
        <f t="shared" si="19"/>
        <v>11.700000000000001</v>
      </c>
      <c r="I355" s="16" t="s">
        <v>102</v>
      </c>
      <c r="J355" s="46">
        <v>0.44097222222222221</v>
      </c>
      <c r="K355" s="15" t="s">
        <v>70</v>
      </c>
      <c r="L355" s="5">
        <v>1.17E-2</v>
      </c>
      <c r="M355" s="6">
        <f t="shared" si="20"/>
        <v>11.700000000000001</v>
      </c>
    </row>
    <row r="356" spans="1:14" ht="28.5" customHeight="1" x14ac:dyDescent="0.25">
      <c r="A356" s="16" t="s">
        <v>69</v>
      </c>
      <c r="B356" s="9" t="s">
        <v>32</v>
      </c>
      <c r="C356" s="15" t="s">
        <v>32</v>
      </c>
      <c r="D356" s="5">
        <v>0.27489999999999998</v>
      </c>
      <c r="E356" s="6">
        <f t="shared" si="19"/>
        <v>274.89999999999998</v>
      </c>
      <c r="I356" s="26" t="s">
        <v>103</v>
      </c>
      <c r="J356" s="46">
        <v>0.45347222222222222</v>
      </c>
      <c r="K356" s="15" t="s">
        <v>32</v>
      </c>
      <c r="L356" s="5">
        <v>0.27489999999999998</v>
      </c>
      <c r="M356" s="6">
        <f t="shared" si="20"/>
        <v>274.89999999999998</v>
      </c>
    </row>
    <row r="357" spans="1:14" x14ac:dyDescent="0.25">
      <c r="A357" s="16" t="s">
        <v>69</v>
      </c>
      <c r="B357" s="9" t="s">
        <v>34</v>
      </c>
      <c r="C357" s="15" t="s">
        <v>35</v>
      </c>
      <c r="D357" s="5">
        <v>0.21199999999999999</v>
      </c>
      <c r="E357" s="6">
        <f t="shared" si="19"/>
        <v>212</v>
      </c>
      <c r="I357" s="16" t="s">
        <v>104</v>
      </c>
      <c r="J357" s="46">
        <v>0.46250000000000002</v>
      </c>
      <c r="K357" s="15" t="s">
        <v>35</v>
      </c>
      <c r="L357" s="5">
        <v>0.21199999999999999</v>
      </c>
      <c r="M357" s="6">
        <f t="shared" si="20"/>
        <v>212</v>
      </c>
    </row>
    <row r="358" spans="1:14" x14ac:dyDescent="0.25">
      <c r="A358" s="16" t="s">
        <v>105</v>
      </c>
      <c r="B358" s="9"/>
      <c r="C358" s="15" t="s">
        <v>20</v>
      </c>
      <c r="D358" s="5">
        <v>1E-3</v>
      </c>
      <c r="E358" s="6">
        <f t="shared" si="19"/>
        <v>1</v>
      </c>
      <c r="I358" s="16" t="s">
        <v>105</v>
      </c>
      <c r="J358" s="46"/>
      <c r="K358" s="15" t="s">
        <v>20</v>
      </c>
      <c r="L358" s="5">
        <v>1E-3</v>
      </c>
      <c r="M358" s="6">
        <f t="shared" si="20"/>
        <v>1</v>
      </c>
    </row>
    <row r="359" spans="1:14" x14ac:dyDescent="0.25">
      <c r="A359" s="2"/>
      <c r="B359" s="12"/>
      <c r="C359" s="2"/>
      <c r="D359" s="23">
        <f>SUM(D346:D358)</f>
        <v>0.99999999999999989</v>
      </c>
      <c r="E359" s="19">
        <v>1000</v>
      </c>
      <c r="I359" s="2"/>
      <c r="J359" s="12"/>
      <c r="K359" s="2"/>
      <c r="L359" s="23">
        <f>SUM(L346:L358)</f>
        <v>0.99999999999999989</v>
      </c>
      <c r="M359" s="19">
        <v>1000</v>
      </c>
    </row>
    <row r="360" spans="1:14" x14ac:dyDescent="0.25">
      <c r="E360" s="24">
        <f>SUM(E346:E358)</f>
        <v>1000</v>
      </c>
      <c r="M360" s="24">
        <f>SUM(M346:M358)</f>
        <v>1000</v>
      </c>
    </row>
    <row r="365" spans="1:14" x14ac:dyDescent="0.25">
      <c r="A365" s="54" t="s">
        <v>106</v>
      </c>
      <c r="B365" s="54"/>
      <c r="C365" s="54"/>
      <c r="D365" s="54"/>
      <c r="E365" s="54"/>
      <c r="F365" s="58" t="s">
        <v>398</v>
      </c>
      <c r="G365" s="58"/>
      <c r="I365" s="54" t="s">
        <v>107</v>
      </c>
      <c r="J365" s="54"/>
      <c r="K365" s="54"/>
      <c r="L365" s="58" t="s">
        <v>399</v>
      </c>
      <c r="M365" s="58"/>
    </row>
    <row r="366" spans="1:14" x14ac:dyDescent="0.25">
      <c r="A366" s="59" t="s">
        <v>108</v>
      </c>
      <c r="B366" s="59"/>
      <c r="C366" s="59"/>
      <c r="D366" s="59"/>
      <c r="E366" s="59"/>
      <c r="I366" s="59" t="s">
        <v>109</v>
      </c>
      <c r="J366" s="59"/>
      <c r="K366" s="59"/>
      <c r="L366" s="59"/>
      <c r="M366" s="59"/>
    </row>
    <row r="367" spans="1:14" x14ac:dyDescent="0.25">
      <c r="A367" s="3" t="s">
        <v>3</v>
      </c>
      <c r="B367" s="3" t="s">
        <v>97</v>
      </c>
      <c r="D367" s="3" t="s">
        <v>5</v>
      </c>
      <c r="E367" s="3" t="s">
        <v>7</v>
      </c>
      <c r="F367" s="3" t="s">
        <v>396</v>
      </c>
      <c r="I367" s="3" t="s">
        <v>3</v>
      </c>
      <c r="J367" s="3" t="s">
        <v>97</v>
      </c>
      <c r="L367" s="3" t="s">
        <v>5</v>
      </c>
      <c r="M367" s="3" t="s">
        <v>7</v>
      </c>
      <c r="N367" s="3" t="s">
        <v>396</v>
      </c>
    </row>
    <row r="368" spans="1:14" x14ac:dyDescent="0.25">
      <c r="A368" s="60" t="s">
        <v>98</v>
      </c>
      <c r="B368" s="4"/>
      <c r="C368" s="3" t="s">
        <v>10</v>
      </c>
      <c r="D368" s="5">
        <v>0.17580000000000001</v>
      </c>
      <c r="E368" s="6">
        <f>(E$359*D368)</f>
        <v>175.8</v>
      </c>
      <c r="F368" s="36"/>
      <c r="I368" s="60" t="s">
        <v>98</v>
      </c>
      <c r="J368" s="46"/>
      <c r="K368" s="3" t="s">
        <v>10</v>
      </c>
      <c r="L368" s="5">
        <v>0.17580000000000001</v>
      </c>
      <c r="M368" s="6">
        <f>(M$359*L368)</f>
        <v>175.8</v>
      </c>
      <c r="N368" s="36"/>
    </row>
    <row r="369" spans="1:14" x14ac:dyDescent="0.25">
      <c r="A369" s="61"/>
      <c r="B369" s="46">
        <v>5.486111111111111E-2</v>
      </c>
      <c r="C369" s="3" t="s">
        <v>13</v>
      </c>
      <c r="D369" s="22">
        <v>1.6000000000000001E-3</v>
      </c>
      <c r="E369" s="6">
        <f>(E$359*D369)</f>
        <v>1.6</v>
      </c>
      <c r="F369" s="36">
        <v>1.65</v>
      </c>
      <c r="I369" s="61"/>
      <c r="J369" s="4" t="s">
        <v>400</v>
      </c>
      <c r="K369" s="3" t="s">
        <v>13</v>
      </c>
      <c r="L369" s="22">
        <v>1.6000000000000001E-3</v>
      </c>
      <c r="M369" s="6">
        <f>(M$359*L369)</f>
        <v>1.6</v>
      </c>
      <c r="N369" s="36"/>
    </row>
    <row r="370" spans="1:14" x14ac:dyDescent="0.25">
      <c r="A370" s="61"/>
      <c r="B370" s="46">
        <v>5.9027777777777776E-2</v>
      </c>
      <c r="C370" s="3" t="s">
        <v>20</v>
      </c>
      <c r="D370" s="22">
        <v>1E-3</v>
      </c>
      <c r="E370" s="6">
        <f>(E$359*D380)</f>
        <v>1</v>
      </c>
      <c r="F370" s="36"/>
      <c r="I370" s="61"/>
      <c r="J370" s="46">
        <v>0.33680555555555558</v>
      </c>
      <c r="K370" s="3" t="s">
        <v>20</v>
      </c>
      <c r="L370" s="22">
        <v>1E-3</v>
      </c>
      <c r="M370" s="6">
        <f>(M$359*L380)</f>
        <v>1</v>
      </c>
      <c r="N370" s="36"/>
    </row>
    <row r="371" spans="1:14" x14ac:dyDescent="0.25">
      <c r="A371" s="61"/>
      <c r="B371" s="46">
        <v>6.25E-2</v>
      </c>
      <c r="C371" s="3" t="s">
        <v>77</v>
      </c>
      <c r="D371" s="5">
        <v>2E-3</v>
      </c>
      <c r="E371" s="6">
        <f t="shared" ref="E371:E380" si="21">(E$359*D371)</f>
        <v>2</v>
      </c>
      <c r="F371" s="36">
        <v>2.21</v>
      </c>
      <c r="I371" s="61"/>
      <c r="J371" s="46">
        <v>0.34097222222222223</v>
      </c>
      <c r="K371" s="3" t="s">
        <v>77</v>
      </c>
      <c r="L371" s="5">
        <v>2E-3</v>
      </c>
      <c r="M371" s="6">
        <f t="shared" ref="M371:M380" si="22">(M$359*L371)</f>
        <v>2</v>
      </c>
      <c r="N371" s="36">
        <v>2.04</v>
      </c>
    </row>
    <row r="372" spans="1:14" x14ac:dyDescent="0.25">
      <c r="A372" s="61"/>
      <c r="B372" s="46">
        <v>6.805555555555555E-2</v>
      </c>
      <c r="C372" s="3" t="s">
        <v>51</v>
      </c>
      <c r="D372" s="5">
        <v>1E-3</v>
      </c>
      <c r="E372" s="6">
        <f t="shared" si="21"/>
        <v>1</v>
      </c>
      <c r="F372" s="36"/>
      <c r="I372" s="61"/>
      <c r="J372" s="46">
        <v>0.34513888888888888</v>
      </c>
      <c r="K372" s="3" t="s">
        <v>51</v>
      </c>
      <c r="L372" s="5">
        <v>1E-3</v>
      </c>
      <c r="M372" s="6">
        <f t="shared" si="22"/>
        <v>1</v>
      </c>
      <c r="N372" s="36"/>
    </row>
    <row r="373" spans="1:14" x14ac:dyDescent="0.25">
      <c r="A373" s="61"/>
      <c r="B373" s="46">
        <v>7.2916666666666671E-2</v>
      </c>
      <c r="C373" s="3" t="s">
        <v>20</v>
      </c>
      <c r="D373" s="5">
        <v>1E-3</v>
      </c>
      <c r="E373" s="6">
        <f t="shared" si="21"/>
        <v>1</v>
      </c>
      <c r="F373" s="36">
        <v>1.1100000000000001</v>
      </c>
      <c r="I373" s="61"/>
      <c r="J373" s="46">
        <v>0.34930555555555554</v>
      </c>
      <c r="K373" s="3" t="s">
        <v>20</v>
      </c>
      <c r="L373" s="5">
        <v>1E-3</v>
      </c>
      <c r="M373" s="6">
        <f t="shared" si="22"/>
        <v>1</v>
      </c>
      <c r="N373" s="36"/>
    </row>
    <row r="374" spans="1:14" x14ac:dyDescent="0.25">
      <c r="A374" s="16" t="s">
        <v>99</v>
      </c>
      <c r="B374" s="46">
        <v>7.8472222222222221E-2</v>
      </c>
      <c r="C374" s="3" t="s">
        <v>24</v>
      </c>
      <c r="D374" s="5">
        <v>0.106</v>
      </c>
      <c r="E374" s="6">
        <f t="shared" si="21"/>
        <v>106</v>
      </c>
      <c r="F374" s="36"/>
      <c r="I374" s="16" t="s">
        <v>99</v>
      </c>
      <c r="J374" s="46">
        <v>0.35694444444444445</v>
      </c>
      <c r="K374" s="3" t="s">
        <v>24</v>
      </c>
      <c r="L374" s="5">
        <v>0.106</v>
      </c>
      <c r="M374" s="6">
        <f t="shared" si="22"/>
        <v>106</v>
      </c>
      <c r="N374" s="36"/>
    </row>
    <row r="375" spans="1:14" x14ac:dyDescent="0.25">
      <c r="A375" s="16" t="s">
        <v>100</v>
      </c>
      <c r="B375" s="46">
        <v>8.7499999999999994E-2</v>
      </c>
      <c r="C375" s="3" t="s">
        <v>28</v>
      </c>
      <c r="D375" s="5">
        <v>0.106</v>
      </c>
      <c r="E375" s="6">
        <f t="shared" si="21"/>
        <v>106</v>
      </c>
      <c r="F375" s="36"/>
      <c r="I375" s="16" t="s">
        <v>100</v>
      </c>
      <c r="J375" s="46">
        <v>0.3659722222222222</v>
      </c>
      <c r="K375" s="3" t="s">
        <v>28</v>
      </c>
      <c r="L375" s="5">
        <v>0.106</v>
      </c>
      <c r="M375" s="6">
        <f t="shared" si="22"/>
        <v>106</v>
      </c>
      <c r="N375" s="36"/>
    </row>
    <row r="376" spans="1:14" x14ac:dyDescent="0.25">
      <c r="A376" s="16" t="s">
        <v>101</v>
      </c>
      <c r="B376" s="46">
        <v>9.4444444444444442E-2</v>
      </c>
      <c r="C376" s="3" t="s">
        <v>30</v>
      </c>
      <c r="D376" s="5">
        <v>0.106</v>
      </c>
      <c r="E376" s="6">
        <f t="shared" si="21"/>
        <v>106</v>
      </c>
      <c r="F376" s="36"/>
      <c r="I376" s="16" t="s">
        <v>101</v>
      </c>
      <c r="J376" s="46">
        <v>0.37222222222222223</v>
      </c>
      <c r="K376" s="3" t="s">
        <v>30</v>
      </c>
      <c r="L376" s="5">
        <v>0.106</v>
      </c>
      <c r="M376" s="6">
        <f t="shared" si="22"/>
        <v>106</v>
      </c>
      <c r="N376" s="36"/>
    </row>
    <row r="377" spans="1:14" x14ac:dyDescent="0.25">
      <c r="A377" s="16" t="s">
        <v>102</v>
      </c>
      <c r="B377" s="46">
        <v>9.8611111111111108E-2</v>
      </c>
      <c r="C377" s="15" t="s">
        <v>70</v>
      </c>
      <c r="D377" s="5">
        <v>1.17E-2</v>
      </c>
      <c r="E377" s="6">
        <f t="shared" si="21"/>
        <v>11.700000000000001</v>
      </c>
      <c r="F377" s="36">
        <v>12.07</v>
      </c>
      <c r="I377" s="16" t="s">
        <v>102</v>
      </c>
      <c r="J377" s="46">
        <v>0.37638888888888888</v>
      </c>
      <c r="K377" s="15" t="s">
        <v>70</v>
      </c>
      <c r="L377" s="5">
        <v>1.17E-2</v>
      </c>
      <c r="M377" s="6">
        <f t="shared" si="22"/>
        <v>11.700000000000001</v>
      </c>
      <c r="N377" s="36">
        <v>11.68</v>
      </c>
    </row>
    <row r="378" spans="1:14" ht="27.6" x14ac:dyDescent="0.25">
      <c r="A378" s="26" t="s">
        <v>103</v>
      </c>
      <c r="B378" s="46">
        <v>0.1076388888888889</v>
      </c>
      <c r="C378" s="15" t="s">
        <v>32</v>
      </c>
      <c r="D378" s="5">
        <v>0.27489999999999998</v>
      </c>
      <c r="E378" s="6">
        <f t="shared" si="21"/>
        <v>274.89999999999998</v>
      </c>
      <c r="F378" s="36"/>
      <c r="I378" s="26" t="s">
        <v>103</v>
      </c>
      <c r="J378" s="46">
        <v>0.3840277777777778</v>
      </c>
      <c r="K378" s="15" t="s">
        <v>32</v>
      </c>
      <c r="L378" s="5">
        <v>0.27489999999999998</v>
      </c>
      <c r="M378" s="6">
        <f t="shared" si="22"/>
        <v>274.89999999999998</v>
      </c>
      <c r="N378" s="36"/>
    </row>
    <row r="379" spans="1:14" x14ac:dyDescent="0.25">
      <c r="A379" s="16" t="s">
        <v>397</v>
      </c>
      <c r="B379" s="46">
        <v>0.11527777777777778</v>
      </c>
      <c r="C379" s="15" t="s">
        <v>110</v>
      </c>
      <c r="D379" s="5">
        <v>0.21199999999999999</v>
      </c>
      <c r="E379" s="6">
        <f t="shared" si="21"/>
        <v>212</v>
      </c>
      <c r="F379" s="36"/>
      <c r="I379" s="16" t="s">
        <v>104</v>
      </c>
      <c r="J379" s="46"/>
      <c r="K379" s="15" t="s">
        <v>111</v>
      </c>
      <c r="L379" s="5">
        <v>0.21199999999999999</v>
      </c>
      <c r="M379" s="6">
        <f t="shared" si="22"/>
        <v>212</v>
      </c>
      <c r="N379" s="36">
        <v>212.27</v>
      </c>
    </row>
    <row r="380" spans="1:14" x14ac:dyDescent="0.25">
      <c r="A380" s="16" t="s">
        <v>105</v>
      </c>
      <c r="B380" s="46">
        <v>0.12013888888888889</v>
      </c>
      <c r="C380" s="15" t="s">
        <v>20</v>
      </c>
      <c r="D380" s="5">
        <v>1E-3</v>
      </c>
      <c r="E380" s="6">
        <f t="shared" si="21"/>
        <v>1</v>
      </c>
      <c r="F380" s="36"/>
      <c r="I380" s="16" t="s">
        <v>105</v>
      </c>
      <c r="J380" s="46"/>
      <c r="K380" s="15" t="s">
        <v>20</v>
      </c>
      <c r="L380" s="5">
        <v>1E-3</v>
      </c>
      <c r="M380" s="6">
        <f t="shared" si="22"/>
        <v>1</v>
      </c>
      <c r="N380" s="36">
        <v>1.0900000000000001</v>
      </c>
    </row>
    <row r="381" spans="1:14" x14ac:dyDescent="0.25">
      <c r="A381" s="2"/>
      <c r="B381" s="12"/>
      <c r="C381" s="2"/>
      <c r="D381" s="23">
        <f>SUM(D368:D380)</f>
        <v>0.99999999999999989</v>
      </c>
      <c r="E381" s="19">
        <v>1000</v>
      </c>
      <c r="I381" s="2"/>
      <c r="J381" s="12"/>
      <c r="K381" s="2"/>
      <c r="L381" s="23">
        <f>SUM(L368:L380)</f>
        <v>0.99999999999999989</v>
      </c>
      <c r="M381" s="19">
        <v>1000</v>
      </c>
    </row>
    <row r="382" spans="1:14" x14ac:dyDescent="0.25">
      <c r="E382" s="24">
        <f>SUM(E368:E380)</f>
        <v>1000</v>
      </c>
      <c r="M382" s="24">
        <f>SUM(M368:M380)</f>
        <v>1000</v>
      </c>
    </row>
    <row r="386" spans="1:14" x14ac:dyDescent="0.25">
      <c r="A386" s="54" t="s">
        <v>112</v>
      </c>
      <c r="B386" s="54"/>
      <c r="C386" s="54"/>
      <c r="D386" s="54"/>
      <c r="E386" s="54" t="s">
        <v>401</v>
      </c>
      <c r="F386" s="54"/>
      <c r="I386" s="54" t="s">
        <v>113</v>
      </c>
      <c r="J386" s="54"/>
      <c r="K386" s="54"/>
      <c r="L386" s="54"/>
      <c r="M386" s="54"/>
    </row>
    <row r="387" spans="1:14" x14ac:dyDescent="0.25">
      <c r="A387" s="59" t="s">
        <v>114</v>
      </c>
      <c r="B387" s="59"/>
      <c r="C387" s="59"/>
      <c r="D387" s="59"/>
      <c r="E387" s="59"/>
      <c r="I387" s="59" t="s">
        <v>115</v>
      </c>
      <c r="J387" s="59"/>
      <c r="K387" s="59"/>
      <c r="L387" s="59"/>
      <c r="M387" s="59"/>
    </row>
    <row r="388" spans="1:14" x14ac:dyDescent="0.25">
      <c r="A388" s="3" t="s">
        <v>3</v>
      </c>
      <c r="B388" s="3" t="s">
        <v>97</v>
      </c>
      <c r="D388" s="3" t="s">
        <v>5</v>
      </c>
      <c r="E388" s="3" t="s">
        <v>7</v>
      </c>
      <c r="F388" s="3" t="s">
        <v>396</v>
      </c>
      <c r="I388" s="3" t="s">
        <v>3</v>
      </c>
      <c r="J388" s="3" t="s">
        <v>97</v>
      </c>
      <c r="L388" s="3" t="s">
        <v>5</v>
      </c>
      <c r="M388" s="3" t="s">
        <v>7</v>
      </c>
      <c r="N388" s="3" t="s">
        <v>396</v>
      </c>
    </row>
    <row r="389" spans="1:14" x14ac:dyDescent="0.25">
      <c r="A389" s="60" t="s">
        <v>98</v>
      </c>
      <c r="B389" s="4"/>
      <c r="C389" s="3" t="s">
        <v>10</v>
      </c>
      <c r="D389" s="5">
        <v>0.17580000000000001</v>
      </c>
      <c r="E389" s="6">
        <f>(E$359*D389)</f>
        <v>175.8</v>
      </c>
      <c r="F389" s="36"/>
      <c r="I389" s="60" t="s">
        <v>98</v>
      </c>
      <c r="J389" s="46"/>
      <c r="K389" s="3" t="s">
        <v>10</v>
      </c>
      <c r="L389" s="5">
        <v>0.17580000000000001</v>
      </c>
      <c r="M389" s="6">
        <f>(M$359*L389)</f>
        <v>175.8</v>
      </c>
      <c r="N389" s="36"/>
    </row>
    <row r="390" spans="1:14" x14ac:dyDescent="0.25">
      <c r="A390" s="61"/>
      <c r="B390" s="46">
        <v>0.41458333333333336</v>
      </c>
      <c r="C390" s="3" t="s">
        <v>13</v>
      </c>
      <c r="D390" s="22">
        <v>1.6000000000000001E-3</v>
      </c>
      <c r="E390" s="6">
        <f>(E$359*D390)</f>
        <v>1.6</v>
      </c>
      <c r="F390" s="36"/>
      <c r="I390" s="61"/>
      <c r="J390" s="46">
        <v>0.3840277777777778</v>
      </c>
      <c r="K390" s="3" t="s">
        <v>13</v>
      </c>
      <c r="L390" s="22">
        <v>1.6000000000000001E-3</v>
      </c>
      <c r="M390" s="6">
        <f>(M$359*L390)</f>
        <v>1.6</v>
      </c>
      <c r="N390" s="36">
        <v>1.78</v>
      </c>
    </row>
    <row r="391" spans="1:14" x14ac:dyDescent="0.25">
      <c r="A391" s="61"/>
      <c r="B391" s="46">
        <v>0.41875000000000001</v>
      </c>
      <c r="C391" s="3" t="s">
        <v>20</v>
      </c>
      <c r="D391" s="22">
        <v>1E-3</v>
      </c>
      <c r="E391" s="6">
        <f>(E$359*D401)</f>
        <v>1</v>
      </c>
      <c r="F391" s="36">
        <v>1.06</v>
      </c>
      <c r="I391" s="61"/>
      <c r="J391" s="46">
        <v>0.38819444444444445</v>
      </c>
      <c r="K391" s="3" t="s">
        <v>20</v>
      </c>
      <c r="L391" s="22">
        <v>1E-3</v>
      </c>
      <c r="M391" s="6">
        <f>(M$359*L401)</f>
        <v>1</v>
      </c>
      <c r="N391" s="36"/>
    </row>
    <row r="392" spans="1:14" x14ac:dyDescent="0.25">
      <c r="A392" s="61"/>
      <c r="B392" s="46">
        <v>0.41944444444444445</v>
      </c>
      <c r="C392" s="3" t="s">
        <v>77</v>
      </c>
      <c r="D392" s="5">
        <v>2E-3</v>
      </c>
      <c r="E392" s="6">
        <f t="shared" ref="E392:E401" si="23">(E$359*D392)</f>
        <v>2</v>
      </c>
      <c r="F392" s="36">
        <v>2.0299999999999998</v>
      </c>
      <c r="I392" s="61"/>
      <c r="J392" s="46">
        <v>0.3923611111111111</v>
      </c>
      <c r="K392" s="3" t="s">
        <v>77</v>
      </c>
      <c r="L392" s="5">
        <v>2E-3</v>
      </c>
      <c r="M392" s="6">
        <f t="shared" ref="M392:M401" si="24">(M$359*L392)</f>
        <v>2</v>
      </c>
      <c r="N392" s="36">
        <v>2.2400000000000002</v>
      </c>
    </row>
    <row r="393" spans="1:14" x14ac:dyDescent="0.25">
      <c r="A393" s="61"/>
      <c r="B393" s="46">
        <v>0.42708333333333331</v>
      </c>
      <c r="C393" s="3" t="s">
        <v>51</v>
      </c>
      <c r="D393" s="5">
        <v>1E-3</v>
      </c>
      <c r="E393" s="6">
        <f t="shared" si="23"/>
        <v>1</v>
      </c>
      <c r="F393" s="36"/>
      <c r="I393" s="61"/>
      <c r="J393" s="46">
        <v>0.39652777777777776</v>
      </c>
      <c r="K393" s="3" t="s">
        <v>51</v>
      </c>
      <c r="L393" s="5">
        <v>1E-3</v>
      </c>
      <c r="M393" s="6">
        <f t="shared" si="24"/>
        <v>1</v>
      </c>
      <c r="N393" s="36"/>
    </row>
    <row r="394" spans="1:14" x14ac:dyDescent="0.25">
      <c r="A394" s="61"/>
      <c r="B394" s="46">
        <v>0.43125000000000002</v>
      </c>
      <c r="C394" s="3" t="s">
        <v>20</v>
      </c>
      <c r="D394" s="5">
        <v>1E-3</v>
      </c>
      <c r="E394" s="6">
        <f t="shared" si="23"/>
        <v>1</v>
      </c>
      <c r="F394" s="36">
        <v>1.01</v>
      </c>
      <c r="I394" s="61"/>
      <c r="J394" s="46">
        <v>0.40069444444444446</v>
      </c>
      <c r="K394" s="3" t="s">
        <v>20</v>
      </c>
      <c r="L394" s="5">
        <v>1E-3</v>
      </c>
      <c r="M394" s="6">
        <f t="shared" si="24"/>
        <v>1</v>
      </c>
      <c r="N394" s="36"/>
    </row>
    <row r="395" spans="1:14" x14ac:dyDescent="0.25">
      <c r="A395" s="16" t="s">
        <v>99</v>
      </c>
      <c r="B395" s="46">
        <v>0.4375</v>
      </c>
      <c r="C395" s="3" t="s">
        <v>24</v>
      </c>
      <c r="D395" s="5">
        <v>0.106</v>
      </c>
      <c r="E395" s="6">
        <f t="shared" si="23"/>
        <v>106</v>
      </c>
      <c r="F395" s="36"/>
      <c r="I395" s="16" t="s">
        <v>99</v>
      </c>
      <c r="J395" s="46">
        <v>0.40625</v>
      </c>
      <c r="K395" s="3" t="s">
        <v>24</v>
      </c>
      <c r="L395" s="5">
        <v>0.106</v>
      </c>
      <c r="M395" s="6">
        <f t="shared" si="24"/>
        <v>106</v>
      </c>
      <c r="N395" s="36"/>
    </row>
    <row r="396" spans="1:14" x14ac:dyDescent="0.25">
      <c r="A396" s="16" t="s">
        <v>100</v>
      </c>
      <c r="B396" s="46">
        <v>0.44583333333333336</v>
      </c>
      <c r="C396" s="3" t="s">
        <v>28</v>
      </c>
      <c r="D396" s="5">
        <v>0.106</v>
      </c>
      <c r="E396" s="6">
        <f t="shared" si="23"/>
        <v>106</v>
      </c>
      <c r="F396" s="36"/>
      <c r="I396" s="16" t="s">
        <v>100</v>
      </c>
      <c r="J396" s="46">
        <v>0.41319444444444442</v>
      </c>
      <c r="K396" s="3" t="s">
        <v>28</v>
      </c>
      <c r="L396" s="5">
        <v>0.106</v>
      </c>
      <c r="M396" s="6">
        <f t="shared" si="24"/>
        <v>106</v>
      </c>
      <c r="N396" s="36"/>
    </row>
    <row r="397" spans="1:14" x14ac:dyDescent="0.25">
      <c r="A397" s="16" t="s">
        <v>101</v>
      </c>
      <c r="B397" s="46">
        <v>0.45069444444444445</v>
      </c>
      <c r="C397" s="3" t="s">
        <v>30</v>
      </c>
      <c r="D397" s="5">
        <v>0.106</v>
      </c>
      <c r="E397" s="6">
        <f t="shared" si="23"/>
        <v>106</v>
      </c>
      <c r="F397" s="36"/>
      <c r="I397" s="16" t="s">
        <v>101</v>
      </c>
      <c r="J397" s="46">
        <v>0.41875000000000001</v>
      </c>
      <c r="K397" s="3" t="s">
        <v>30</v>
      </c>
      <c r="L397" s="5">
        <v>0.106</v>
      </c>
      <c r="M397" s="6">
        <f t="shared" si="24"/>
        <v>106</v>
      </c>
      <c r="N397" s="36"/>
    </row>
    <row r="398" spans="1:14" x14ac:dyDescent="0.25">
      <c r="A398" s="16" t="s">
        <v>102</v>
      </c>
      <c r="B398" s="46">
        <v>0.45555555555555555</v>
      </c>
      <c r="C398" s="15" t="s">
        <v>70</v>
      </c>
      <c r="D398" s="5">
        <v>1.17E-2</v>
      </c>
      <c r="E398" s="6">
        <f t="shared" si="23"/>
        <v>11.700000000000001</v>
      </c>
      <c r="F398" s="36">
        <v>11.79</v>
      </c>
      <c r="I398" s="16" t="s">
        <v>102</v>
      </c>
      <c r="J398" s="46">
        <v>0.42430555555555555</v>
      </c>
      <c r="K398" s="15" t="s">
        <v>70</v>
      </c>
      <c r="L398" s="5">
        <v>1.17E-2</v>
      </c>
      <c r="M398" s="6">
        <f t="shared" si="24"/>
        <v>11.700000000000001</v>
      </c>
      <c r="N398" s="36">
        <v>11.85</v>
      </c>
    </row>
    <row r="399" spans="1:14" ht="27.6" x14ac:dyDescent="0.25">
      <c r="A399" s="26" t="s">
        <v>103</v>
      </c>
      <c r="B399" s="46">
        <v>0.46319444444444446</v>
      </c>
      <c r="C399" s="15" t="s">
        <v>32</v>
      </c>
      <c r="D399" s="5">
        <v>0.27489999999999998</v>
      </c>
      <c r="E399" s="6">
        <f t="shared" si="23"/>
        <v>274.89999999999998</v>
      </c>
      <c r="F399" s="36"/>
      <c r="I399" s="26" t="s">
        <v>103</v>
      </c>
      <c r="J399" s="46">
        <v>0.43125000000000002</v>
      </c>
      <c r="K399" s="48" t="s">
        <v>116</v>
      </c>
      <c r="L399" s="5">
        <v>0.27489999999999998</v>
      </c>
      <c r="M399" s="6">
        <f t="shared" si="24"/>
        <v>274.89999999999998</v>
      </c>
      <c r="N399" s="36"/>
    </row>
    <row r="400" spans="1:14" x14ac:dyDescent="0.25">
      <c r="A400" s="16" t="s">
        <v>104</v>
      </c>
      <c r="B400" s="46">
        <v>0.47083333333333333</v>
      </c>
      <c r="C400" s="15" t="s">
        <v>117</v>
      </c>
      <c r="D400" s="5">
        <v>0.21199999999999999</v>
      </c>
      <c r="E400" s="6">
        <f t="shared" si="23"/>
        <v>212</v>
      </c>
      <c r="F400" s="36">
        <v>212.05</v>
      </c>
      <c r="I400" s="16" t="s">
        <v>104</v>
      </c>
      <c r="J400" s="46">
        <v>0.43541666666666667</v>
      </c>
      <c r="K400" s="15" t="s">
        <v>35</v>
      </c>
      <c r="L400" s="5">
        <v>0.21199999999999999</v>
      </c>
      <c r="M400" s="6">
        <f t="shared" si="24"/>
        <v>212</v>
      </c>
      <c r="N400" s="36">
        <v>212.25</v>
      </c>
    </row>
    <row r="401" spans="1:14" x14ac:dyDescent="0.25">
      <c r="A401" s="16" t="s">
        <v>105</v>
      </c>
      <c r="B401" s="46">
        <v>0.47499999999999998</v>
      </c>
      <c r="C401" s="15" t="s">
        <v>20</v>
      </c>
      <c r="D401" s="5">
        <v>1E-3</v>
      </c>
      <c r="E401" s="6">
        <f t="shared" si="23"/>
        <v>1</v>
      </c>
      <c r="F401" s="36">
        <v>1.03</v>
      </c>
      <c r="I401" s="16" t="s">
        <v>105</v>
      </c>
      <c r="J401" s="46">
        <v>0.43958333333333333</v>
      </c>
      <c r="K401" s="15" t="s">
        <v>20</v>
      </c>
      <c r="L401" s="5">
        <v>1E-3</v>
      </c>
      <c r="M401" s="6">
        <f t="shared" si="24"/>
        <v>1</v>
      </c>
      <c r="N401" s="36">
        <v>1.03</v>
      </c>
    </row>
    <row r="402" spans="1:14" x14ac:dyDescent="0.25">
      <c r="A402" s="2"/>
      <c r="B402" s="12"/>
      <c r="C402" s="2"/>
      <c r="D402" s="23">
        <f>SUM(D389:D401)</f>
        <v>0.99999999999999989</v>
      </c>
      <c r="E402" s="19">
        <v>1000</v>
      </c>
      <c r="I402" s="2"/>
      <c r="J402" s="12"/>
      <c r="K402" s="2"/>
      <c r="L402" s="23">
        <f>SUM(L389:L401)</f>
        <v>0.99999999999999989</v>
      </c>
      <c r="M402" s="19">
        <v>1000</v>
      </c>
    </row>
    <row r="403" spans="1:14" x14ac:dyDescent="0.25">
      <c r="E403" s="24">
        <f>SUM(E389:E401)</f>
        <v>1000</v>
      </c>
      <c r="M403" s="24">
        <f>SUM(M389:M401)</f>
        <v>1000</v>
      </c>
    </row>
    <row r="409" spans="1:14" x14ac:dyDescent="0.25">
      <c r="A409" s="54" t="s">
        <v>118</v>
      </c>
      <c r="B409" s="54"/>
      <c r="C409" s="54"/>
      <c r="D409" s="54"/>
      <c r="E409" s="54"/>
    </row>
    <row r="410" spans="1:14" x14ac:dyDescent="0.25">
      <c r="A410" s="59" t="s">
        <v>119</v>
      </c>
      <c r="B410" s="59"/>
      <c r="C410" s="59"/>
      <c r="D410" s="59"/>
      <c r="E410" s="59"/>
      <c r="I410" s="54" t="s">
        <v>120</v>
      </c>
      <c r="J410" s="54"/>
      <c r="K410" s="54"/>
      <c r="L410" s="54"/>
      <c r="M410" s="54"/>
    </row>
    <row r="411" spans="1:14" x14ac:dyDescent="0.25">
      <c r="A411" s="3" t="s">
        <v>3</v>
      </c>
      <c r="B411" s="36" t="s">
        <v>414</v>
      </c>
      <c r="C411" s="3" t="s">
        <v>4</v>
      </c>
      <c r="D411" s="3" t="s">
        <v>5</v>
      </c>
      <c r="E411" s="3" t="s">
        <v>6</v>
      </c>
      <c r="F411" s="3" t="s">
        <v>7</v>
      </c>
      <c r="G411" s="3" t="s">
        <v>396</v>
      </c>
      <c r="I411" s="59" t="s">
        <v>121</v>
      </c>
      <c r="J411" s="59"/>
      <c r="K411" s="59"/>
      <c r="L411" s="59"/>
      <c r="M411" s="59"/>
    </row>
    <row r="412" spans="1:14" x14ac:dyDescent="0.25">
      <c r="A412" s="8"/>
      <c r="B412" s="36"/>
      <c r="C412" s="4" t="s">
        <v>10</v>
      </c>
      <c r="D412" s="3" t="s">
        <v>10</v>
      </c>
      <c r="E412" s="5">
        <v>0.17530000000000001</v>
      </c>
      <c r="F412" s="6">
        <f>(F$425*E412)</f>
        <v>175.3</v>
      </c>
      <c r="G412" s="36"/>
      <c r="I412" s="3" t="s">
        <v>3</v>
      </c>
      <c r="J412" s="3" t="s">
        <v>97</v>
      </c>
      <c r="L412" s="3" t="s">
        <v>5</v>
      </c>
      <c r="M412" s="3" t="s">
        <v>7</v>
      </c>
      <c r="N412" s="3" t="s">
        <v>396</v>
      </c>
    </row>
    <row r="413" spans="1:14" x14ac:dyDescent="0.25">
      <c r="A413" s="55" t="s">
        <v>122</v>
      </c>
      <c r="B413" s="36"/>
      <c r="C413" s="4" t="s">
        <v>12</v>
      </c>
      <c r="D413" s="3" t="s">
        <v>13</v>
      </c>
      <c r="E413" s="22">
        <v>2E-3</v>
      </c>
      <c r="F413" s="6">
        <f>F$425*E413</f>
        <v>2</v>
      </c>
      <c r="G413" s="36">
        <v>2.21</v>
      </c>
      <c r="I413" s="60" t="s">
        <v>98</v>
      </c>
      <c r="J413" s="4"/>
      <c r="K413" s="3" t="s">
        <v>10</v>
      </c>
      <c r="L413" s="5">
        <v>0.17580000000000001</v>
      </c>
      <c r="M413" s="6">
        <f>(M$359*L413)</f>
        <v>175.8</v>
      </c>
      <c r="N413" s="36"/>
    </row>
    <row r="414" spans="1:14" x14ac:dyDescent="0.25">
      <c r="A414" s="57"/>
      <c r="B414" s="49">
        <v>8.6805555555555552E-2</v>
      </c>
      <c r="C414" s="9"/>
      <c r="D414" s="3" t="s">
        <v>77</v>
      </c>
      <c r="E414" s="5">
        <v>2E-3</v>
      </c>
      <c r="F414" s="6">
        <f>(F$425*E414)</f>
        <v>2</v>
      </c>
      <c r="G414" s="36"/>
      <c r="I414" s="61"/>
      <c r="J414" s="46">
        <v>0.45416666666666666</v>
      </c>
      <c r="K414" s="3" t="s">
        <v>13</v>
      </c>
      <c r="L414" s="22">
        <v>1.6000000000000001E-3</v>
      </c>
      <c r="M414" s="6">
        <f>(M$359*L414)</f>
        <v>1.6</v>
      </c>
      <c r="N414" s="36">
        <v>1.62</v>
      </c>
    </row>
    <row r="415" spans="1:14" x14ac:dyDescent="0.25">
      <c r="A415" s="7" t="s">
        <v>411</v>
      </c>
      <c r="B415" s="49">
        <v>9.166666666666666E-2</v>
      </c>
      <c r="C415" s="9"/>
      <c r="D415" s="3" t="s">
        <v>20</v>
      </c>
      <c r="E415" s="5">
        <v>1E-3</v>
      </c>
      <c r="F415" s="6">
        <f>(F$425*E415)</f>
        <v>1</v>
      </c>
      <c r="G415" s="36"/>
      <c r="I415" s="61"/>
      <c r="J415" s="46">
        <v>0.45833333333333331</v>
      </c>
      <c r="K415" s="3" t="s">
        <v>20</v>
      </c>
      <c r="L415" s="22">
        <v>1E-3</v>
      </c>
      <c r="M415" s="6">
        <f>(M$359*L425)</f>
        <v>1</v>
      </c>
      <c r="N415" s="36"/>
    </row>
    <row r="416" spans="1:14" x14ac:dyDescent="0.25">
      <c r="A416" s="8" t="s">
        <v>122</v>
      </c>
      <c r="B416" s="49">
        <v>9.583333333333334E-2</v>
      </c>
      <c r="C416" s="9" t="s">
        <v>16</v>
      </c>
      <c r="D416" s="3" t="s">
        <v>17</v>
      </c>
      <c r="E416" s="5">
        <v>1E-3</v>
      </c>
      <c r="F416" s="6">
        <f>(F$425*E416)</f>
        <v>1</v>
      </c>
      <c r="G416" s="36"/>
      <c r="I416" s="61"/>
      <c r="J416" s="46">
        <v>0.46250000000000002</v>
      </c>
      <c r="K416" s="3" t="s">
        <v>77</v>
      </c>
      <c r="L416" s="5">
        <v>2E-3</v>
      </c>
      <c r="M416" s="6">
        <f t="shared" ref="M416:M425" si="25">(M$359*L416)</f>
        <v>2</v>
      </c>
      <c r="N416" s="36"/>
    </row>
    <row r="417" spans="1:14" x14ac:dyDescent="0.25">
      <c r="A417" s="8" t="s">
        <v>123</v>
      </c>
      <c r="B417" s="36"/>
      <c r="C417" s="9" t="s">
        <v>19</v>
      </c>
      <c r="D417" s="3" t="s">
        <v>20</v>
      </c>
      <c r="E417" s="5">
        <v>1E-3</v>
      </c>
      <c r="F417" s="6">
        <f>(F$426*E417)</f>
        <v>1</v>
      </c>
      <c r="G417" s="36"/>
      <c r="I417" s="61"/>
      <c r="J417" s="46">
        <v>0.46666666666666667</v>
      </c>
      <c r="K417" s="3" t="s">
        <v>51</v>
      </c>
      <c r="L417" s="5">
        <v>1E-3</v>
      </c>
      <c r="M417" s="6">
        <f t="shared" si="25"/>
        <v>1</v>
      </c>
      <c r="N417" s="36"/>
    </row>
    <row r="418" spans="1:14" x14ac:dyDescent="0.25">
      <c r="A418" s="16" t="s">
        <v>63</v>
      </c>
      <c r="B418" s="49">
        <v>0.10138888888888889</v>
      </c>
      <c r="C418" s="9" t="s">
        <v>23</v>
      </c>
      <c r="D418" s="3" t="s">
        <v>24</v>
      </c>
      <c r="E418" s="5">
        <v>0.106</v>
      </c>
      <c r="F418" s="6">
        <f>(F$425*E418)</f>
        <v>106</v>
      </c>
      <c r="G418" s="36"/>
      <c r="I418" s="61"/>
      <c r="J418" s="46">
        <v>0.47083333333333333</v>
      </c>
      <c r="K418" s="3" t="s">
        <v>20</v>
      </c>
      <c r="L418" s="5">
        <v>1E-3</v>
      </c>
      <c r="M418" s="6">
        <f t="shared" si="25"/>
        <v>1</v>
      </c>
      <c r="N418" s="36">
        <v>1.05</v>
      </c>
    </row>
    <row r="419" spans="1:14" x14ac:dyDescent="0.25">
      <c r="A419" s="16" t="s">
        <v>63</v>
      </c>
      <c r="B419" s="49">
        <v>0.1076388888888889</v>
      </c>
      <c r="C419" s="9" t="s">
        <v>27</v>
      </c>
      <c r="D419" s="3" t="s">
        <v>28</v>
      </c>
      <c r="E419" s="5">
        <v>0.106</v>
      </c>
      <c r="F419" s="6">
        <f>(F$425*E419)</f>
        <v>106</v>
      </c>
      <c r="G419" s="36"/>
      <c r="I419" s="16" t="s">
        <v>99</v>
      </c>
      <c r="J419" s="46">
        <v>0.47569444444444442</v>
      </c>
      <c r="K419" s="3" t="s">
        <v>24</v>
      </c>
      <c r="L419" s="5">
        <v>0.106</v>
      </c>
      <c r="M419" s="6">
        <f t="shared" si="25"/>
        <v>106</v>
      </c>
      <c r="N419" s="36"/>
    </row>
    <row r="420" spans="1:14" x14ac:dyDescent="0.25">
      <c r="A420" s="16" t="s">
        <v>63</v>
      </c>
      <c r="B420" s="49">
        <v>0.11388888888888889</v>
      </c>
      <c r="C420" s="9" t="s">
        <v>30</v>
      </c>
      <c r="D420" s="3" t="s">
        <v>30</v>
      </c>
      <c r="E420" s="5">
        <v>0.106</v>
      </c>
      <c r="F420" s="6">
        <f>(F$425*E420)</f>
        <v>106</v>
      </c>
      <c r="G420" s="36"/>
      <c r="I420" s="16" t="s">
        <v>100</v>
      </c>
      <c r="J420" s="46">
        <v>0.4826388888888889</v>
      </c>
      <c r="K420" s="3" t="s">
        <v>28</v>
      </c>
      <c r="L420" s="5">
        <v>0.106</v>
      </c>
      <c r="M420" s="6">
        <f t="shared" si="25"/>
        <v>106</v>
      </c>
      <c r="N420" s="36"/>
    </row>
    <row r="421" spans="1:14" x14ac:dyDescent="0.25">
      <c r="A421" s="16" t="s">
        <v>69</v>
      </c>
      <c r="B421" s="49">
        <v>0.11805555555555555</v>
      </c>
      <c r="C421" s="9"/>
      <c r="D421" s="15" t="s">
        <v>70</v>
      </c>
      <c r="E421" s="5">
        <v>1.17E-2</v>
      </c>
      <c r="F421" s="6">
        <f>(F$426*E421)</f>
        <v>11.700000000000001</v>
      </c>
      <c r="G421" s="36">
        <v>12.05</v>
      </c>
      <c r="I421" s="16" t="s">
        <v>101</v>
      </c>
      <c r="J421" s="46">
        <v>0.48819444444444443</v>
      </c>
      <c r="K421" s="3" t="s">
        <v>30</v>
      </c>
      <c r="L421" s="5">
        <v>0.106</v>
      </c>
      <c r="M421" s="6">
        <f t="shared" si="25"/>
        <v>106</v>
      </c>
      <c r="N421" s="36">
        <v>106.6</v>
      </c>
    </row>
    <row r="422" spans="1:14" x14ac:dyDescent="0.25">
      <c r="A422" s="16" t="s">
        <v>69</v>
      </c>
      <c r="B422" s="49">
        <v>0.12777777777777777</v>
      </c>
      <c r="C422" s="9" t="s">
        <v>32</v>
      </c>
      <c r="D422" s="15" t="s">
        <v>32</v>
      </c>
      <c r="E422" s="5">
        <v>0.27500000000000002</v>
      </c>
      <c r="F422" s="6">
        <f>(F$426*E422)</f>
        <v>275</v>
      </c>
      <c r="G422" s="36"/>
      <c r="I422" s="16" t="s">
        <v>102</v>
      </c>
      <c r="J422" s="46">
        <v>0.49305555555555558</v>
      </c>
      <c r="K422" s="15" t="s">
        <v>70</v>
      </c>
      <c r="L422" s="5">
        <v>1.17E-2</v>
      </c>
      <c r="M422" s="6">
        <f t="shared" si="25"/>
        <v>11.700000000000001</v>
      </c>
      <c r="N422" s="36">
        <v>11.76</v>
      </c>
    </row>
    <row r="423" spans="1:14" ht="33" customHeight="1" x14ac:dyDescent="0.25">
      <c r="A423" s="8" t="s">
        <v>412</v>
      </c>
      <c r="B423" s="49">
        <v>0.13125000000000001</v>
      </c>
      <c r="C423" s="9"/>
      <c r="D423" s="15" t="s">
        <v>20</v>
      </c>
      <c r="E423" s="5">
        <v>1E-3</v>
      </c>
      <c r="F423" s="6">
        <f>(F$426*E423)</f>
        <v>1</v>
      </c>
      <c r="G423" s="36"/>
      <c r="I423" s="26" t="s">
        <v>103</v>
      </c>
      <c r="J423" s="46">
        <v>0.49583333333333335</v>
      </c>
      <c r="K423" s="47" t="s">
        <v>124</v>
      </c>
      <c r="L423" s="27">
        <v>0.27489999999999998</v>
      </c>
      <c r="M423" s="28">
        <f t="shared" si="25"/>
        <v>274.89999999999998</v>
      </c>
      <c r="N423" s="36"/>
    </row>
    <row r="424" spans="1:14" x14ac:dyDescent="0.25">
      <c r="A424" s="16" t="s">
        <v>69</v>
      </c>
      <c r="B424" s="36"/>
      <c r="C424" s="9" t="s">
        <v>34</v>
      </c>
      <c r="D424" s="15" t="s">
        <v>125</v>
      </c>
      <c r="E424" s="5">
        <v>0.21199999999999999</v>
      </c>
      <c r="F424" s="6">
        <f>(F$425*E424)</f>
        <v>212</v>
      </c>
      <c r="G424" s="36">
        <v>212.56</v>
      </c>
      <c r="I424" s="16" t="s">
        <v>104</v>
      </c>
      <c r="J424" s="46">
        <v>0.50347222222222221</v>
      </c>
      <c r="K424" s="15" t="s">
        <v>35</v>
      </c>
      <c r="L424" s="5">
        <v>0.21199999999999999</v>
      </c>
      <c r="M424" s="6">
        <f t="shared" si="25"/>
        <v>212</v>
      </c>
      <c r="N424" s="36">
        <v>212.5</v>
      </c>
    </row>
    <row r="425" spans="1:14" x14ac:dyDescent="0.25">
      <c r="A425" s="2"/>
      <c r="C425" s="12"/>
      <c r="D425" s="2"/>
      <c r="E425" s="23">
        <f>SUM(E412:E424)</f>
        <v>1</v>
      </c>
      <c r="F425" s="19">
        <v>1000</v>
      </c>
      <c r="I425" s="16" t="s">
        <v>105</v>
      </c>
      <c r="J425" s="46">
        <v>0.5083333333333333</v>
      </c>
      <c r="K425" s="15" t="s">
        <v>20</v>
      </c>
      <c r="L425" s="5">
        <v>1E-3</v>
      </c>
      <c r="M425" s="6">
        <f t="shared" si="25"/>
        <v>1</v>
      </c>
      <c r="N425" s="36"/>
    </row>
    <row r="426" spans="1:14" x14ac:dyDescent="0.25">
      <c r="A426" s="44" t="s">
        <v>413</v>
      </c>
      <c r="F426" s="19">
        <v>1000</v>
      </c>
      <c r="I426" s="2"/>
      <c r="J426" s="12"/>
      <c r="K426" s="2"/>
      <c r="L426" s="23">
        <f>SUM(L413:L425)</f>
        <v>0.99999999999999989</v>
      </c>
      <c r="M426" s="19">
        <v>1000</v>
      </c>
    </row>
    <row r="427" spans="1:14" x14ac:dyDescent="0.25">
      <c r="M427" s="24">
        <f>SUM(M413:M425)</f>
        <v>1000</v>
      </c>
    </row>
    <row r="432" spans="1:14" x14ac:dyDescent="0.25">
      <c r="A432" s="54" t="s">
        <v>126</v>
      </c>
      <c r="B432" s="54"/>
      <c r="C432" s="54"/>
      <c r="D432" s="54" t="s">
        <v>415</v>
      </c>
      <c r="E432" s="54"/>
      <c r="I432" s="54" t="s">
        <v>127</v>
      </c>
      <c r="J432" s="54"/>
      <c r="K432" s="54"/>
      <c r="L432" s="54"/>
      <c r="M432" s="54"/>
    </row>
    <row r="433" spans="1:13" x14ac:dyDescent="0.25">
      <c r="A433" s="59" t="s">
        <v>128</v>
      </c>
      <c r="B433" s="59"/>
      <c r="C433" s="59"/>
      <c r="D433" s="59"/>
      <c r="E433" s="59"/>
      <c r="I433" s="59" t="s">
        <v>129</v>
      </c>
      <c r="J433" s="59"/>
      <c r="K433" s="59"/>
      <c r="L433" s="59"/>
      <c r="M433" s="59"/>
    </row>
    <row r="434" spans="1:13" x14ac:dyDescent="0.25">
      <c r="A434" s="3" t="s">
        <v>3</v>
      </c>
      <c r="B434" s="3" t="s">
        <v>97</v>
      </c>
      <c r="D434" s="3" t="s">
        <v>5</v>
      </c>
      <c r="E434" s="3" t="s">
        <v>7</v>
      </c>
      <c r="F434" s="36" t="s">
        <v>396</v>
      </c>
      <c r="I434" s="3" t="s">
        <v>3</v>
      </c>
      <c r="J434" s="3" t="s">
        <v>97</v>
      </c>
      <c r="L434" s="3" t="s">
        <v>5</v>
      </c>
      <c r="M434" s="3" t="s">
        <v>7</v>
      </c>
    </row>
    <row r="435" spans="1:13" x14ac:dyDescent="0.25">
      <c r="A435" s="60" t="s">
        <v>98</v>
      </c>
      <c r="B435" s="4"/>
      <c r="C435" s="3" t="s">
        <v>10</v>
      </c>
      <c r="D435" s="5">
        <v>0.1762</v>
      </c>
      <c r="E435" s="6">
        <f t="shared" ref="E435:E448" si="26">(E$449*D435)</f>
        <v>176.2</v>
      </c>
      <c r="F435" s="36"/>
      <c r="I435" s="60" t="s">
        <v>98</v>
      </c>
      <c r="J435" s="4"/>
      <c r="K435" s="3" t="s">
        <v>10</v>
      </c>
      <c r="L435" s="5">
        <v>0.1762</v>
      </c>
      <c r="M435" s="6">
        <f t="shared" ref="M435:M448" si="27">(M$449*L435)</f>
        <v>176.2</v>
      </c>
    </row>
    <row r="436" spans="1:13" x14ac:dyDescent="0.25">
      <c r="A436" s="61"/>
      <c r="B436" s="46">
        <v>0.39374999999999999</v>
      </c>
      <c r="C436" s="3" t="s">
        <v>13</v>
      </c>
      <c r="D436" s="22">
        <v>2E-3</v>
      </c>
      <c r="E436" s="6">
        <f t="shared" si="26"/>
        <v>2</v>
      </c>
      <c r="F436" s="36">
        <v>2.1800000000000002</v>
      </c>
      <c r="I436" s="61"/>
      <c r="J436" s="4"/>
      <c r="K436" s="3" t="s">
        <v>13</v>
      </c>
      <c r="L436" s="22">
        <v>2E-3</v>
      </c>
      <c r="M436" s="6">
        <f t="shared" si="27"/>
        <v>2</v>
      </c>
    </row>
    <row r="437" spans="1:13" x14ac:dyDescent="0.25">
      <c r="A437" s="61"/>
      <c r="B437" s="46">
        <v>0.39791666666666664</v>
      </c>
      <c r="C437" s="3" t="s">
        <v>20</v>
      </c>
      <c r="D437" s="22">
        <v>1E-3</v>
      </c>
      <c r="E437" s="6">
        <f t="shared" si="26"/>
        <v>1</v>
      </c>
      <c r="F437" s="36"/>
      <c r="I437" s="61"/>
      <c r="J437" s="4"/>
      <c r="K437" s="3" t="s">
        <v>20</v>
      </c>
      <c r="L437" s="22">
        <v>1E-3</v>
      </c>
      <c r="M437" s="6">
        <f t="shared" si="27"/>
        <v>1</v>
      </c>
    </row>
    <row r="438" spans="1:13" x14ac:dyDescent="0.25">
      <c r="A438" s="61"/>
      <c r="B438" s="46">
        <v>0.40208333333333335</v>
      </c>
      <c r="C438" s="3" t="s">
        <v>77</v>
      </c>
      <c r="D438" s="5">
        <v>2E-3</v>
      </c>
      <c r="E438" s="6">
        <f t="shared" si="26"/>
        <v>2</v>
      </c>
      <c r="F438" s="36">
        <v>2.19</v>
      </c>
      <c r="I438" s="61"/>
      <c r="J438" s="9"/>
      <c r="K438" s="3" t="s">
        <v>77</v>
      </c>
      <c r="L438" s="5">
        <v>2E-3</v>
      </c>
      <c r="M438" s="6">
        <f t="shared" si="27"/>
        <v>2</v>
      </c>
    </row>
    <row r="439" spans="1:13" x14ac:dyDescent="0.25">
      <c r="A439" s="61"/>
      <c r="B439" s="46">
        <v>0.40625</v>
      </c>
      <c r="C439" s="3" t="s">
        <v>51</v>
      </c>
      <c r="D439" s="5">
        <v>6.9999999999999999E-4</v>
      </c>
      <c r="E439" s="6">
        <f t="shared" si="26"/>
        <v>0.7</v>
      </c>
      <c r="F439" s="36"/>
      <c r="I439" s="61"/>
      <c r="J439" s="9"/>
      <c r="K439" s="3" t="s">
        <v>51</v>
      </c>
      <c r="L439" s="5">
        <v>6.9999999999999999E-4</v>
      </c>
      <c r="M439" s="6">
        <f t="shared" si="27"/>
        <v>0.7</v>
      </c>
    </row>
    <row r="440" spans="1:13" x14ac:dyDescent="0.25">
      <c r="A440" s="61"/>
      <c r="B440" s="46">
        <v>0.41041666666666665</v>
      </c>
      <c r="C440" s="3" t="s">
        <v>20</v>
      </c>
      <c r="D440" s="5">
        <v>1E-3</v>
      </c>
      <c r="E440" s="6">
        <f t="shared" si="26"/>
        <v>1</v>
      </c>
      <c r="F440" s="36"/>
      <c r="I440" s="61"/>
      <c r="J440" s="9"/>
      <c r="K440" s="3" t="s">
        <v>20</v>
      </c>
      <c r="L440" s="5">
        <v>1E-3</v>
      </c>
      <c r="M440" s="6">
        <f t="shared" si="27"/>
        <v>1</v>
      </c>
    </row>
    <row r="441" spans="1:13" x14ac:dyDescent="0.25">
      <c r="A441" s="16" t="s">
        <v>99</v>
      </c>
      <c r="B441" s="46">
        <v>0.41597222222222224</v>
      </c>
      <c r="C441" s="3" t="s">
        <v>24</v>
      </c>
      <c r="D441" s="5">
        <v>0.106</v>
      </c>
      <c r="E441" s="6">
        <f t="shared" si="26"/>
        <v>106</v>
      </c>
      <c r="F441" s="36"/>
      <c r="I441" s="16" t="s">
        <v>99</v>
      </c>
      <c r="J441" s="9"/>
      <c r="K441" s="3" t="s">
        <v>24</v>
      </c>
      <c r="L441" s="5">
        <v>0.106</v>
      </c>
      <c r="M441" s="6">
        <f t="shared" si="27"/>
        <v>106</v>
      </c>
    </row>
    <row r="442" spans="1:13" x14ac:dyDescent="0.25">
      <c r="A442" s="16" t="s">
        <v>100</v>
      </c>
      <c r="B442" s="46">
        <v>0.42222222222222222</v>
      </c>
      <c r="C442" s="3" t="s">
        <v>28</v>
      </c>
      <c r="D442" s="5">
        <v>0.106</v>
      </c>
      <c r="E442" s="6">
        <f t="shared" si="26"/>
        <v>106</v>
      </c>
      <c r="F442" s="36"/>
      <c r="I442" s="16" t="s">
        <v>100</v>
      </c>
      <c r="J442" s="9"/>
      <c r="K442" s="3" t="s">
        <v>28</v>
      </c>
      <c r="L442" s="5">
        <v>0.106</v>
      </c>
      <c r="M442" s="6">
        <f t="shared" si="27"/>
        <v>106</v>
      </c>
    </row>
    <row r="443" spans="1:13" x14ac:dyDescent="0.25">
      <c r="A443" s="16" t="s">
        <v>101</v>
      </c>
      <c r="B443" s="46">
        <v>0.42777777777777776</v>
      </c>
      <c r="C443" s="3" t="s">
        <v>30</v>
      </c>
      <c r="D443" s="5">
        <v>0.106</v>
      </c>
      <c r="E443" s="6">
        <f t="shared" si="26"/>
        <v>106</v>
      </c>
      <c r="F443" s="36"/>
      <c r="I443" s="16" t="s">
        <v>101</v>
      </c>
      <c r="J443" s="9"/>
      <c r="K443" s="3" t="s">
        <v>30</v>
      </c>
      <c r="L443" s="5">
        <v>0.106</v>
      </c>
      <c r="M443" s="6">
        <f t="shared" si="27"/>
        <v>106</v>
      </c>
    </row>
    <row r="444" spans="1:13" x14ac:dyDescent="0.25">
      <c r="A444" s="16" t="s">
        <v>102</v>
      </c>
      <c r="B444" s="46">
        <v>0.43263888888888891</v>
      </c>
      <c r="C444" s="15" t="s">
        <v>70</v>
      </c>
      <c r="D444" s="5">
        <v>1.17E-2</v>
      </c>
      <c r="E444" s="6">
        <f t="shared" si="26"/>
        <v>11.700000000000001</v>
      </c>
      <c r="F444" s="36">
        <v>12.25</v>
      </c>
      <c r="I444" s="16" t="s">
        <v>102</v>
      </c>
      <c r="J444" s="9"/>
      <c r="K444" s="15" t="s">
        <v>70</v>
      </c>
      <c r="L444" s="5">
        <v>1.17E-2</v>
      </c>
      <c r="M444" s="6">
        <f t="shared" si="27"/>
        <v>11.700000000000001</v>
      </c>
    </row>
    <row r="445" spans="1:13" ht="27.6" x14ac:dyDescent="0.25">
      <c r="A445" s="26" t="s">
        <v>103</v>
      </c>
      <c r="B445" s="46">
        <v>0.43888888888888888</v>
      </c>
      <c r="C445" s="15" t="s">
        <v>32</v>
      </c>
      <c r="D445" s="5">
        <v>0.27489999999999998</v>
      </c>
      <c r="E445" s="6">
        <f t="shared" si="26"/>
        <v>274.89999999999998</v>
      </c>
      <c r="F445" s="36"/>
      <c r="I445" s="26" t="s">
        <v>103</v>
      </c>
      <c r="J445" s="9"/>
      <c r="K445" s="15" t="s">
        <v>32</v>
      </c>
      <c r="L445" s="5">
        <v>0.27489999999999998</v>
      </c>
      <c r="M445" s="6">
        <f t="shared" si="27"/>
        <v>274.89999999999998</v>
      </c>
    </row>
    <row r="446" spans="1:13" ht="17.399999999999999" x14ac:dyDescent="0.25">
      <c r="A446" s="26" t="s">
        <v>416</v>
      </c>
      <c r="B446" s="46">
        <v>0.4465277777777778</v>
      </c>
      <c r="C446" s="48" t="s">
        <v>130</v>
      </c>
      <c r="D446" s="5">
        <v>0.02</v>
      </c>
      <c r="E446" s="6">
        <f t="shared" si="26"/>
        <v>20</v>
      </c>
      <c r="F446" s="36"/>
      <c r="I446" s="26" t="s">
        <v>131</v>
      </c>
      <c r="J446" s="9"/>
      <c r="K446" s="15" t="s">
        <v>130</v>
      </c>
      <c r="L446" s="5">
        <v>0.02</v>
      </c>
      <c r="M446" s="6">
        <f t="shared" si="27"/>
        <v>20</v>
      </c>
    </row>
    <row r="447" spans="1:13" x14ac:dyDescent="0.25">
      <c r="A447" s="62" t="s">
        <v>132</v>
      </c>
      <c r="B447" s="46">
        <v>0.45069444444444445</v>
      </c>
      <c r="C447" s="15" t="s">
        <v>111</v>
      </c>
      <c r="D447" s="5">
        <v>0.192</v>
      </c>
      <c r="E447" s="6">
        <f t="shared" si="26"/>
        <v>192</v>
      </c>
      <c r="F447" s="36"/>
      <c r="I447" s="62" t="s">
        <v>133</v>
      </c>
      <c r="J447" s="9"/>
      <c r="K447" s="15" t="s">
        <v>110</v>
      </c>
      <c r="L447" s="5">
        <v>0.192</v>
      </c>
      <c r="M447" s="6">
        <f t="shared" si="27"/>
        <v>192</v>
      </c>
    </row>
    <row r="448" spans="1:13" x14ac:dyDescent="0.25">
      <c r="A448" s="63"/>
      <c r="B448" s="46">
        <v>0.45416666666666666</v>
      </c>
      <c r="C448" s="15" t="s">
        <v>20</v>
      </c>
      <c r="D448" s="5">
        <v>5.0000000000000001E-4</v>
      </c>
      <c r="E448" s="6">
        <f t="shared" si="26"/>
        <v>0.5</v>
      </c>
      <c r="F448" s="50">
        <v>1</v>
      </c>
      <c r="I448" s="63"/>
      <c r="J448" s="9"/>
      <c r="K448" s="15" t="s">
        <v>20</v>
      </c>
      <c r="L448" s="5">
        <v>5.0000000000000001E-4</v>
      </c>
      <c r="M448" s="6">
        <f t="shared" si="27"/>
        <v>0.5</v>
      </c>
    </row>
    <row r="449" spans="1:13" x14ac:dyDescent="0.25">
      <c r="A449" s="2"/>
      <c r="B449" s="12"/>
      <c r="C449" s="2"/>
      <c r="D449" s="23">
        <f>SUM(D435:D448)</f>
        <v>1</v>
      </c>
      <c r="E449" s="19">
        <v>1000</v>
      </c>
      <c r="I449" s="2"/>
      <c r="J449" s="12"/>
      <c r="K449" s="2"/>
      <c r="L449" s="23">
        <f>SUM(L435:L448)</f>
        <v>1</v>
      </c>
      <c r="M449" s="19">
        <v>1000</v>
      </c>
    </row>
    <row r="450" spans="1:13" x14ac:dyDescent="0.25">
      <c r="E450" s="19">
        <f>SUM(E435:E448)</f>
        <v>1000</v>
      </c>
      <c r="M450" s="24">
        <f>SUM(M435:M448)</f>
        <v>1000</v>
      </c>
    </row>
    <row r="455" spans="1:13" x14ac:dyDescent="0.25">
      <c r="A455" s="54" t="s">
        <v>134</v>
      </c>
      <c r="B455" s="54"/>
      <c r="C455" s="54"/>
      <c r="D455" s="54"/>
      <c r="E455" s="54"/>
      <c r="I455" s="54" t="s">
        <v>135</v>
      </c>
      <c r="J455" s="54"/>
      <c r="K455" s="54"/>
      <c r="L455" s="54"/>
      <c r="M455" s="54"/>
    </row>
    <row r="456" spans="1:13" x14ac:dyDescent="0.25">
      <c r="A456" s="59" t="s">
        <v>136</v>
      </c>
      <c r="B456" s="59"/>
      <c r="C456" s="59"/>
      <c r="D456" s="59"/>
      <c r="E456" s="59"/>
      <c r="I456" s="59" t="s">
        <v>137</v>
      </c>
      <c r="J456" s="59"/>
      <c r="K456" s="59"/>
      <c r="L456" s="59"/>
      <c r="M456" s="59"/>
    </row>
    <row r="457" spans="1:13" x14ac:dyDescent="0.25">
      <c r="A457" s="3" t="s">
        <v>3</v>
      </c>
      <c r="B457" s="3" t="s">
        <v>97</v>
      </c>
      <c r="D457" s="3" t="s">
        <v>5</v>
      </c>
      <c r="E457" s="3" t="s">
        <v>7</v>
      </c>
      <c r="I457" s="3" t="s">
        <v>3</v>
      </c>
      <c r="J457" s="3" t="s">
        <v>97</v>
      </c>
      <c r="K457" t="s">
        <v>138</v>
      </c>
      <c r="L457" s="3" t="s">
        <v>5</v>
      </c>
      <c r="M457" s="3" t="s">
        <v>7</v>
      </c>
    </row>
    <row r="458" spans="1:13" x14ac:dyDescent="0.25">
      <c r="A458" s="60" t="s">
        <v>98</v>
      </c>
      <c r="B458" s="4"/>
      <c r="C458" s="3" t="s">
        <v>10</v>
      </c>
      <c r="D458" s="5">
        <v>0.1762</v>
      </c>
      <c r="E458" s="6">
        <f t="shared" ref="E458:E471" si="28">(E$472*D458)</f>
        <v>211.44</v>
      </c>
      <c r="I458" s="60" t="s">
        <v>98</v>
      </c>
      <c r="J458" s="4"/>
      <c r="K458" s="3" t="s">
        <v>10</v>
      </c>
      <c r="L458" s="5">
        <v>0.17560000000000001</v>
      </c>
      <c r="M458" s="6">
        <f>(M$471*L458)</f>
        <v>210.72</v>
      </c>
    </row>
    <row r="459" spans="1:13" x14ac:dyDescent="0.25">
      <c r="A459" s="61"/>
      <c r="B459" s="4"/>
      <c r="C459" s="3" t="s">
        <v>13</v>
      </c>
      <c r="D459" s="22">
        <v>2E-3</v>
      </c>
      <c r="E459" s="6">
        <f t="shared" si="28"/>
        <v>2.4</v>
      </c>
      <c r="I459" s="61"/>
      <c r="J459" s="4"/>
      <c r="K459" s="3" t="s">
        <v>13</v>
      </c>
      <c r="L459" s="22">
        <v>1.6000000000000001E-3</v>
      </c>
      <c r="M459" s="6">
        <f>(M$471*L459)</f>
        <v>1.9200000000000002</v>
      </c>
    </row>
    <row r="460" spans="1:13" x14ac:dyDescent="0.25">
      <c r="A460" s="61"/>
      <c r="B460" s="4"/>
      <c r="C460" s="3" t="s">
        <v>20</v>
      </c>
      <c r="D460" s="22">
        <v>1E-3</v>
      </c>
      <c r="E460" s="6">
        <f t="shared" si="28"/>
        <v>1.2</v>
      </c>
      <c r="I460" s="61"/>
      <c r="J460" s="4"/>
      <c r="K460" s="3" t="s">
        <v>20</v>
      </c>
      <c r="L460" s="22">
        <v>1E-3</v>
      </c>
      <c r="M460" s="6">
        <f>(M$471*L470)</f>
        <v>1.2</v>
      </c>
    </row>
    <row r="461" spans="1:13" x14ac:dyDescent="0.25">
      <c r="A461" s="61"/>
      <c r="B461" s="9"/>
      <c r="C461" s="3" t="s">
        <v>77</v>
      </c>
      <c r="D461" s="5">
        <v>2E-3</v>
      </c>
      <c r="E461" s="6">
        <f t="shared" si="28"/>
        <v>2.4</v>
      </c>
      <c r="I461" s="61"/>
      <c r="J461" s="9"/>
      <c r="K461" s="3" t="s">
        <v>77</v>
      </c>
      <c r="L461" s="5">
        <v>2E-3</v>
      </c>
      <c r="M461" s="6">
        <f t="shared" ref="M461:M470" si="29">(M$471*L461)</f>
        <v>2.4</v>
      </c>
    </row>
    <row r="462" spans="1:13" x14ac:dyDescent="0.25">
      <c r="A462" s="61"/>
      <c r="B462" s="9"/>
      <c r="C462" s="3" t="s">
        <v>51</v>
      </c>
      <c r="D462" s="5">
        <v>6.9999999999999999E-4</v>
      </c>
      <c r="E462" s="6">
        <f t="shared" si="28"/>
        <v>0.84</v>
      </c>
      <c r="I462" s="61"/>
      <c r="J462" s="9"/>
      <c r="K462" s="3" t="s">
        <v>51</v>
      </c>
      <c r="L462" s="5">
        <v>1.1999999999999999E-3</v>
      </c>
      <c r="M462" s="6">
        <f t="shared" si="29"/>
        <v>1.44</v>
      </c>
    </row>
    <row r="463" spans="1:13" x14ac:dyDescent="0.25">
      <c r="A463" s="61"/>
      <c r="B463" s="9"/>
      <c r="C463" s="3" t="s">
        <v>20</v>
      </c>
      <c r="D463" s="5">
        <v>1E-3</v>
      </c>
      <c r="E463" s="6">
        <f t="shared" si="28"/>
        <v>1.2</v>
      </c>
      <c r="I463" s="61"/>
      <c r="J463" s="9"/>
      <c r="K463" s="3" t="s">
        <v>20</v>
      </c>
      <c r="L463" s="5">
        <v>1E-3</v>
      </c>
      <c r="M463" s="6">
        <f t="shared" si="29"/>
        <v>1.2</v>
      </c>
    </row>
    <row r="464" spans="1:13" x14ac:dyDescent="0.25">
      <c r="A464" s="16" t="s">
        <v>99</v>
      </c>
      <c r="B464" s="9"/>
      <c r="C464" s="3" t="s">
        <v>24</v>
      </c>
      <c r="D464" s="5">
        <v>0.106</v>
      </c>
      <c r="E464" s="6">
        <f t="shared" si="28"/>
        <v>127.2</v>
      </c>
      <c r="I464" s="16" t="s">
        <v>99</v>
      </c>
      <c r="J464" s="9"/>
      <c r="K464" s="3" t="s">
        <v>24</v>
      </c>
      <c r="L464" s="5">
        <v>0.12</v>
      </c>
      <c r="M464" s="6">
        <f t="shared" si="29"/>
        <v>144</v>
      </c>
    </row>
    <row r="465" spans="1:13" x14ac:dyDescent="0.25">
      <c r="A465" s="16" t="s">
        <v>100</v>
      </c>
      <c r="B465" s="9"/>
      <c r="C465" s="3" t="s">
        <v>28</v>
      </c>
      <c r="D465" s="5">
        <v>0.106</v>
      </c>
      <c r="E465" s="6">
        <f t="shared" si="28"/>
        <v>127.2</v>
      </c>
      <c r="I465" s="16" t="s">
        <v>100</v>
      </c>
      <c r="J465" s="9"/>
      <c r="K465" s="3" t="s">
        <v>28</v>
      </c>
      <c r="L465" s="5">
        <v>0.106</v>
      </c>
      <c r="M465" s="6">
        <f t="shared" si="29"/>
        <v>127.2</v>
      </c>
    </row>
    <row r="466" spans="1:13" x14ac:dyDescent="0.25">
      <c r="A466" s="16" t="s">
        <v>101</v>
      </c>
      <c r="B466" s="9"/>
      <c r="C466" s="3" t="s">
        <v>30</v>
      </c>
      <c r="D466" s="5">
        <v>0.106</v>
      </c>
      <c r="E466" s="6">
        <f t="shared" si="28"/>
        <v>127.2</v>
      </c>
      <c r="I466" s="16" t="s">
        <v>101</v>
      </c>
      <c r="J466" s="9"/>
      <c r="K466" s="3" t="s">
        <v>30</v>
      </c>
      <c r="L466" s="5">
        <v>0.106</v>
      </c>
      <c r="M466" s="6">
        <f t="shared" si="29"/>
        <v>127.2</v>
      </c>
    </row>
    <row r="467" spans="1:13" x14ac:dyDescent="0.25">
      <c r="A467" s="16" t="s">
        <v>102</v>
      </c>
      <c r="B467" s="9"/>
      <c r="C467" s="15" t="s">
        <v>70</v>
      </c>
      <c r="D467" s="5">
        <v>1.17E-2</v>
      </c>
      <c r="E467" s="6">
        <f t="shared" si="28"/>
        <v>14.040000000000001</v>
      </c>
      <c r="I467" s="16" t="s">
        <v>102</v>
      </c>
      <c r="J467" s="9"/>
      <c r="K467" s="15" t="s">
        <v>70</v>
      </c>
      <c r="L467" s="5">
        <v>1.17E-2</v>
      </c>
      <c r="M467" s="6">
        <f t="shared" si="29"/>
        <v>14.040000000000001</v>
      </c>
    </row>
    <row r="468" spans="1:13" ht="27.6" x14ac:dyDescent="0.25">
      <c r="A468" s="26" t="s">
        <v>103</v>
      </c>
      <c r="B468" s="9"/>
      <c r="C468" s="15" t="s">
        <v>32</v>
      </c>
      <c r="D468" s="5">
        <v>0.27489999999999998</v>
      </c>
      <c r="E468" s="6">
        <f t="shared" si="28"/>
        <v>329.88</v>
      </c>
      <c r="I468" s="26" t="s">
        <v>103</v>
      </c>
      <c r="J468" s="9"/>
      <c r="K468" s="15" t="s">
        <v>116</v>
      </c>
      <c r="L468" s="5">
        <v>0.26090000000000002</v>
      </c>
      <c r="M468" s="6">
        <f t="shared" si="29"/>
        <v>313.08000000000004</v>
      </c>
    </row>
    <row r="469" spans="1:13" ht="17.399999999999999" x14ac:dyDescent="0.25">
      <c r="A469" s="26" t="s">
        <v>139</v>
      </c>
      <c r="B469" s="9"/>
      <c r="C469" s="15" t="s">
        <v>130</v>
      </c>
      <c r="D469" s="5">
        <v>0.02</v>
      </c>
      <c r="E469" s="6">
        <f t="shared" si="28"/>
        <v>24</v>
      </c>
      <c r="I469" s="16" t="s">
        <v>104</v>
      </c>
      <c r="J469" s="9"/>
      <c r="K469" s="15" t="s">
        <v>117</v>
      </c>
      <c r="L469" s="5">
        <v>0.21199999999999999</v>
      </c>
      <c r="M469" s="6">
        <f t="shared" si="29"/>
        <v>254.4</v>
      </c>
    </row>
    <row r="470" spans="1:13" x14ac:dyDescent="0.25">
      <c r="A470" s="62" t="s">
        <v>140</v>
      </c>
      <c r="B470" s="9"/>
      <c r="C470" s="15" t="s">
        <v>117</v>
      </c>
      <c r="D470" s="5">
        <v>0.192</v>
      </c>
      <c r="E470" s="6">
        <f t="shared" si="28"/>
        <v>230.4</v>
      </c>
      <c r="I470" s="16" t="s">
        <v>105</v>
      </c>
      <c r="J470" s="9"/>
      <c r="K470" s="15" t="s">
        <v>20</v>
      </c>
      <c r="L470" s="5">
        <v>1E-3</v>
      </c>
      <c r="M470" s="6">
        <f t="shared" si="29"/>
        <v>1.2</v>
      </c>
    </row>
    <row r="471" spans="1:13" x14ac:dyDescent="0.25">
      <c r="A471" s="63"/>
      <c r="B471" s="9"/>
      <c r="C471" s="15" t="s">
        <v>20</v>
      </c>
      <c r="D471" s="5">
        <v>5.0000000000000001E-4</v>
      </c>
      <c r="E471" s="6">
        <f t="shared" si="28"/>
        <v>0.6</v>
      </c>
      <c r="I471" s="2"/>
      <c r="J471" s="12"/>
      <c r="K471" s="2"/>
      <c r="L471" s="23">
        <f>SUM(L458:L470)</f>
        <v>1</v>
      </c>
      <c r="M471" s="19">
        <v>1200</v>
      </c>
    </row>
    <row r="472" spans="1:13" x14ac:dyDescent="0.25">
      <c r="A472" s="2"/>
      <c r="B472" s="12"/>
      <c r="C472" s="2"/>
      <c r="D472" s="23">
        <f>SUM(D458:D471)</f>
        <v>1</v>
      </c>
      <c r="E472" s="19">
        <v>1200</v>
      </c>
      <c r="M472" s="24">
        <f>SUM(M458:M470)</f>
        <v>1200</v>
      </c>
    </row>
    <row r="473" spans="1:13" x14ac:dyDescent="0.25">
      <c r="E473" s="24">
        <f>SUM(E458:E471)</f>
        <v>1200</v>
      </c>
      <c r="I473" s="2"/>
      <c r="J473" s="12"/>
      <c r="K473" s="2"/>
      <c r="L473" s="23"/>
      <c r="M473" s="19"/>
    </row>
    <row r="474" spans="1:13" x14ac:dyDescent="0.25">
      <c r="M474" s="24"/>
    </row>
    <row r="479" spans="1:13" x14ac:dyDescent="0.25">
      <c r="A479" s="54" t="s">
        <v>141</v>
      </c>
      <c r="B479" s="54"/>
      <c r="C479" s="54"/>
      <c r="D479" s="54"/>
      <c r="E479" s="54"/>
    </row>
    <row r="480" spans="1:13" x14ac:dyDescent="0.25">
      <c r="A480" s="59" t="s">
        <v>142</v>
      </c>
      <c r="B480" s="59"/>
      <c r="C480" s="59"/>
      <c r="D480" s="59"/>
      <c r="E480" s="59"/>
    </row>
    <row r="481" spans="1:5" x14ac:dyDescent="0.25">
      <c r="A481" s="3" t="s">
        <v>3</v>
      </c>
      <c r="B481" s="3" t="s">
        <v>97</v>
      </c>
      <c r="D481" s="3" t="s">
        <v>5</v>
      </c>
      <c r="E481" s="3" t="s">
        <v>7</v>
      </c>
    </row>
    <row r="482" spans="1:5" x14ac:dyDescent="0.25">
      <c r="A482" s="60" t="s">
        <v>98</v>
      </c>
      <c r="B482" s="4"/>
      <c r="C482" s="3" t="s">
        <v>10</v>
      </c>
      <c r="D482" s="5">
        <v>0.17560000000000001</v>
      </c>
      <c r="E482" s="6">
        <f t="shared" ref="E482:E494" si="30">(E$495*D482)</f>
        <v>210.72</v>
      </c>
    </row>
    <row r="483" spans="1:5" x14ac:dyDescent="0.25">
      <c r="A483" s="61"/>
      <c r="B483" s="4"/>
      <c r="C483" s="3" t="s">
        <v>13</v>
      </c>
      <c r="D483" s="22">
        <v>1.6000000000000001E-3</v>
      </c>
      <c r="E483" s="6">
        <f t="shared" si="30"/>
        <v>1.9200000000000002</v>
      </c>
    </row>
    <row r="484" spans="1:5" x14ac:dyDescent="0.25">
      <c r="A484" s="61"/>
      <c r="B484" s="4"/>
      <c r="C484" s="3" t="s">
        <v>20</v>
      </c>
      <c r="D484" s="22">
        <v>1E-3</v>
      </c>
      <c r="E484" s="6">
        <f t="shared" si="30"/>
        <v>1.2</v>
      </c>
    </row>
    <row r="485" spans="1:5" x14ac:dyDescent="0.25">
      <c r="A485" s="61"/>
      <c r="B485" s="9"/>
      <c r="C485" s="3" t="s">
        <v>77</v>
      </c>
      <c r="D485" s="5">
        <v>2E-3</v>
      </c>
      <c r="E485" s="6">
        <f t="shared" si="30"/>
        <v>2.4</v>
      </c>
    </row>
    <row r="486" spans="1:5" x14ac:dyDescent="0.25">
      <c r="A486" s="61"/>
      <c r="B486" s="9"/>
      <c r="C486" s="3" t="s">
        <v>51</v>
      </c>
      <c r="D486" s="5">
        <v>1.1999999999999999E-3</v>
      </c>
      <c r="E486" s="6">
        <f t="shared" si="30"/>
        <v>1.44</v>
      </c>
    </row>
    <row r="487" spans="1:5" x14ac:dyDescent="0.25">
      <c r="A487" s="61"/>
      <c r="B487" s="9"/>
      <c r="C487" s="3" t="s">
        <v>20</v>
      </c>
      <c r="D487" s="5">
        <v>1E-3</v>
      </c>
      <c r="E487" s="6">
        <f t="shared" si="30"/>
        <v>1.2</v>
      </c>
    </row>
    <row r="488" spans="1:5" x14ac:dyDescent="0.25">
      <c r="A488" s="16" t="s">
        <v>99</v>
      </c>
      <c r="B488" s="9"/>
      <c r="C488" s="3" t="s">
        <v>24</v>
      </c>
      <c r="D488" s="5">
        <v>0.12</v>
      </c>
      <c r="E488" s="6">
        <f t="shared" si="30"/>
        <v>144</v>
      </c>
    </row>
    <row r="489" spans="1:5" x14ac:dyDescent="0.25">
      <c r="A489" s="16" t="s">
        <v>100</v>
      </c>
      <c r="B489" s="9"/>
      <c r="C489" s="3" t="s">
        <v>28</v>
      </c>
      <c r="D489" s="5">
        <v>0.106</v>
      </c>
      <c r="E489" s="6">
        <f t="shared" si="30"/>
        <v>127.2</v>
      </c>
    </row>
    <row r="490" spans="1:5" x14ac:dyDescent="0.25">
      <c r="A490" s="16" t="s">
        <v>101</v>
      </c>
      <c r="B490" s="9"/>
      <c r="C490" s="3" t="s">
        <v>30</v>
      </c>
      <c r="D490" s="5">
        <v>0.106</v>
      </c>
      <c r="E490" s="6">
        <f t="shared" si="30"/>
        <v>127.2</v>
      </c>
    </row>
    <row r="491" spans="1:5" x14ac:dyDescent="0.25">
      <c r="A491" s="16" t="s">
        <v>102</v>
      </c>
      <c r="B491" s="9"/>
      <c r="C491" s="15" t="s">
        <v>70</v>
      </c>
      <c r="D491" s="5">
        <v>1.17E-2</v>
      </c>
      <c r="E491" s="6">
        <f t="shared" si="30"/>
        <v>14.040000000000001</v>
      </c>
    </row>
    <row r="492" spans="1:5" ht="27.6" x14ac:dyDescent="0.25">
      <c r="A492" s="26" t="s">
        <v>103</v>
      </c>
      <c r="B492" s="9"/>
      <c r="C492" s="15" t="s">
        <v>124</v>
      </c>
      <c r="D492" s="5">
        <v>0.26090000000000002</v>
      </c>
      <c r="E492" s="6">
        <f t="shared" si="30"/>
        <v>313.08000000000004</v>
      </c>
    </row>
    <row r="493" spans="1:5" x14ac:dyDescent="0.25">
      <c r="A493" s="16" t="s">
        <v>104</v>
      </c>
      <c r="B493" s="9"/>
      <c r="C493" s="15" t="s">
        <v>117</v>
      </c>
      <c r="D493" s="5">
        <v>0.21199999999999999</v>
      </c>
      <c r="E493" s="6">
        <f t="shared" si="30"/>
        <v>254.4</v>
      </c>
    </row>
    <row r="494" spans="1:5" x14ac:dyDescent="0.25">
      <c r="A494" s="16" t="s">
        <v>105</v>
      </c>
      <c r="B494" s="9"/>
      <c r="C494" s="15" t="s">
        <v>20</v>
      </c>
      <c r="D494" s="5">
        <v>1E-3</v>
      </c>
      <c r="E494" s="6">
        <f t="shared" si="30"/>
        <v>1.2</v>
      </c>
    </row>
    <row r="495" spans="1:5" x14ac:dyDescent="0.25">
      <c r="A495" s="2"/>
      <c r="B495" s="12"/>
      <c r="C495" s="2"/>
      <c r="D495" s="23">
        <f>SUM(D482:D494)</f>
        <v>1</v>
      </c>
      <c r="E495" s="19">
        <v>1200</v>
      </c>
    </row>
    <row r="496" spans="1:5" x14ac:dyDescent="0.25">
      <c r="E496" s="24">
        <f>SUM(E482:E494)</f>
        <v>1200</v>
      </c>
    </row>
    <row r="501" spans="1:13" x14ac:dyDescent="0.25">
      <c r="A501" s="54" t="s">
        <v>143</v>
      </c>
      <c r="B501" s="54"/>
      <c r="C501" s="54"/>
      <c r="D501" s="54"/>
      <c r="E501" s="54"/>
      <c r="I501" s="54" t="s">
        <v>144</v>
      </c>
      <c r="J501" s="54"/>
      <c r="K501" s="54"/>
      <c r="L501" s="54"/>
      <c r="M501" s="54"/>
    </row>
    <row r="502" spans="1:13" x14ac:dyDescent="0.25">
      <c r="A502" s="59" t="s">
        <v>145</v>
      </c>
      <c r="B502" s="59"/>
      <c r="C502" s="59"/>
      <c r="D502" s="59"/>
      <c r="E502" s="59"/>
      <c r="I502" s="59" t="s">
        <v>146</v>
      </c>
      <c r="J502" s="59"/>
      <c r="K502" s="59"/>
      <c r="L502" s="59"/>
      <c r="M502" s="59"/>
    </row>
    <row r="503" spans="1:13" x14ac:dyDescent="0.25">
      <c r="A503" s="3" t="s">
        <v>3</v>
      </c>
      <c r="B503" s="3" t="s">
        <v>97</v>
      </c>
      <c r="D503" s="3" t="s">
        <v>5</v>
      </c>
      <c r="E503" s="3" t="s">
        <v>7</v>
      </c>
      <c r="I503" s="3" t="s">
        <v>3</v>
      </c>
      <c r="J503" s="3" t="s">
        <v>97</v>
      </c>
      <c r="L503" s="3" t="s">
        <v>5</v>
      </c>
      <c r="M503" s="3" t="s">
        <v>7</v>
      </c>
    </row>
    <row r="504" spans="1:13" x14ac:dyDescent="0.25">
      <c r="A504" s="60" t="s">
        <v>98</v>
      </c>
      <c r="B504" s="4"/>
      <c r="C504" s="3" t="s">
        <v>10</v>
      </c>
      <c r="D504" s="5">
        <v>0.17560000000000001</v>
      </c>
      <c r="E504" s="6">
        <f>(E$518*D504)</f>
        <v>210.72</v>
      </c>
      <c r="I504" s="60" t="s">
        <v>98</v>
      </c>
      <c r="J504" s="4"/>
      <c r="K504" s="3" t="s">
        <v>10</v>
      </c>
      <c r="L504" s="5">
        <v>0.17560000000000001</v>
      </c>
      <c r="M504" s="6">
        <f>(M$518*L504)</f>
        <v>210.72</v>
      </c>
    </row>
    <row r="505" spans="1:13" x14ac:dyDescent="0.25">
      <c r="A505" s="61"/>
      <c r="B505" s="4"/>
      <c r="C505" s="3" t="s">
        <v>13</v>
      </c>
      <c r="D505" s="22">
        <v>1.6000000000000001E-3</v>
      </c>
      <c r="E505" s="6">
        <f>(E$518*D505)</f>
        <v>1.9200000000000002</v>
      </c>
      <c r="I505" s="61"/>
      <c r="J505" s="4"/>
      <c r="K505" s="3" t="s">
        <v>13</v>
      </c>
      <c r="L505" s="22">
        <v>1.6000000000000001E-3</v>
      </c>
      <c r="M505" s="6">
        <f>(M$518*L505)</f>
        <v>1.9200000000000002</v>
      </c>
    </row>
    <row r="506" spans="1:13" x14ac:dyDescent="0.25">
      <c r="A506" s="61"/>
      <c r="B506" s="4"/>
      <c r="C506" s="3" t="s">
        <v>20</v>
      </c>
      <c r="D506" s="22">
        <v>1E-3</v>
      </c>
      <c r="E506" s="6">
        <f>(E$518*D517)</f>
        <v>1.2</v>
      </c>
      <c r="I506" s="61"/>
      <c r="J506" s="4"/>
      <c r="K506" s="3" t="s">
        <v>20</v>
      </c>
      <c r="L506" s="22">
        <v>1E-3</v>
      </c>
      <c r="M506" s="6">
        <f>(M$518*L517)</f>
        <v>1.2</v>
      </c>
    </row>
    <row r="507" spans="1:13" x14ac:dyDescent="0.25">
      <c r="A507" s="61"/>
      <c r="B507" s="9"/>
      <c r="C507" s="3" t="s">
        <v>77</v>
      </c>
      <c r="D507" s="5">
        <v>2E-3</v>
      </c>
      <c r="E507" s="6">
        <f t="shared" ref="E507:E517" si="31">(E$518*D507)</f>
        <v>2.4</v>
      </c>
      <c r="I507" s="61"/>
      <c r="J507" s="9"/>
      <c r="K507" s="3" t="s">
        <v>77</v>
      </c>
      <c r="L507" s="5">
        <v>2E-3</v>
      </c>
      <c r="M507" s="6">
        <f t="shared" ref="M507:M517" si="32">(M$518*L507)</f>
        <v>2.4</v>
      </c>
    </row>
    <row r="508" spans="1:13" x14ac:dyDescent="0.25">
      <c r="A508" s="61"/>
      <c r="B508" s="9"/>
      <c r="C508" s="3" t="s">
        <v>51</v>
      </c>
      <c r="D508" s="5">
        <v>1.1999999999999999E-3</v>
      </c>
      <c r="E508" s="6">
        <f t="shared" si="31"/>
        <v>1.44</v>
      </c>
      <c r="I508" s="61"/>
      <c r="J508" s="9"/>
      <c r="K508" s="3" t="s">
        <v>51</v>
      </c>
      <c r="L508" s="5">
        <v>1.1999999999999999E-3</v>
      </c>
      <c r="M508" s="6">
        <f t="shared" si="32"/>
        <v>1.44</v>
      </c>
    </row>
    <row r="509" spans="1:13" x14ac:dyDescent="0.25">
      <c r="A509" s="61"/>
      <c r="B509" s="9"/>
      <c r="C509" s="3" t="s">
        <v>20</v>
      </c>
      <c r="D509" s="5">
        <v>1E-3</v>
      </c>
      <c r="E509" s="6">
        <f t="shared" si="31"/>
        <v>1.2</v>
      </c>
      <c r="I509" s="61"/>
      <c r="J509" s="9"/>
      <c r="K509" s="3" t="s">
        <v>20</v>
      </c>
      <c r="L509" s="5">
        <v>1E-3</v>
      </c>
      <c r="M509" s="6">
        <f t="shared" si="32"/>
        <v>1.2</v>
      </c>
    </row>
    <row r="510" spans="1:13" x14ac:dyDescent="0.25">
      <c r="A510" s="16" t="s">
        <v>99</v>
      </c>
      <c r="B510" s="9"/>
      <c r="C510" s="3" t="s">
        <v>24</v>
      </c>
      <c r="D510" s="5">
        <v>0.12</v>
      </c>
      <c r="E510" s="6">
        <f t="shared" si="31"/>
        <v>144</v>
      </c>
      <c r="I510" s="16" t="s">
        <v>99</v>
      </c>
      <c r="J510" s="9"/>
      <c r="K510" s="3" t="s">
        <v>24</v>
      </c>
      <c r="L510" s="5">
        <v>0.12</v>
      </c>
      <c r="M510" s="6">
        <f t="shared" si="32"/>
        <v>144</v>
      </c>
    </row>
    <row r="511" spans="1:13" x14ac:dyDescent="0.25">
      <c r="A511" s="16" t="s">
        <v>100</v>
      </c>
      <c r="B511" s="9"/>
      <c r="C511" s="3" t="s">
        <v>28</v>
      </c>
      <c r="D511" s="5">
        <v>0.106</v>
      </c>
      <c r="E511" s="6">
        <f t="shared" si="31"/>
        <v>127.2</v>
      </c>
      <c r="I511" s="16" t="s">
        <v>100</v>
      </c>
      <c r="J511" s="9"/>
      <c r="K511" s="3" t="s">
        <v>28</v>
      </c>
      <c r="L511" s="5">
        <v>0.106</v>
      </c>
      <c r="M511" s="6">
        <f t="shared" si="32"/>
        <v>127.2</v>
      </c>
    </row>
    <row r="512" spans="1:13" x14ac:dyDescent="0.25">
      <c r="A512" s="16"/>
      <c r="B512" s="9"/>
      <c r="C512" s="3" t="s">
        <v>147</v>
      </c>
      <c r="D512" s="5">
        <v>0.01</v>
      </c>
      <c r="E512" s="6">
        <f t="shared" si="31"/>
        <v>12</v>
      </c>
      <c r="I512" s="16"/>
      <c r="J512" s="9"/>
      <c r="K512" s="3" t="s">
        <v>147</v>
      </c>
      <c r="L512" s="5">
        <v>0.01</v>
      </c>
      <c r="M512" s="6">
        <f t="shared" si="32"/>
        <v>12</v>
      </c>
    </row>
    <row r="513" spans="1:13" x14ac:dyDescent="0.25">
      <c r="A513" s="16" t="s">
        <v>101</v>
      </c>
      <c r="B513" s="9"/>
      <c r="C513" s="3" t="s">
        <v>30</v>
      </c>
      <c r="D513" s="5">
        <v>0.106</v>
      </c>
      <c r="E513" s="6">
        <f t="shared" si="31"/>
        <v>127.2</v>
      </c>
      <c r="I513" s="16" t="s">
        <v>101</v>
      </c>
      <c r="J513" s="9"/>
      <c r="K513" s="3" t="s">
        <v>30</v>
      </c>
      <c r="L513" s="5">
        <v>0.106</v>
      </c>
      <c r="M513" s="6">
        <f t="shared" si="32"/>
        <v>127.2</v>
      </c>
    </row>
    <row r="514" spans="1:13" x14ac:dyDescent="0.25">
      <c r="A514" s="16" t="s">
        <v>102</v>
      </c>
      <c r="B514" s="9"/>
      <c r="C514" s="15" t="s">
        <v>70</v>
      </c>
      <c r="D514" s="5">
        <v>1.17E-2</v>
      </c>
      <c r="E514" s="6">
        <f t="shared" si="31"/>
        <v>14.040000000000001</v>
      </c>
      <c r="I514" s="16" t="s">
        <v>102</v>
      </c>
      <c r="J514" s="9"/>
      <c r="K514" s="15" t="s">
        <v>70</v>
      </c>
      <c r="L514" s="5">
        <v>1.17E-2</v>
      </c>
      <c r="M514" s="6">
        <f t="shared" si="32"/>
        <v>14.040000000000001</v>
      </c>
    </row>
    <row r="515" spans="1:13" ht="27.6" x14ac:dyDescent="0.25">
      <c r="A515" s="26" t="s">
        <v>103</v>
      </c>
      <c r="B515" s="9"/>
      <c r="C515" s="15" t="s">
        <v>116</v>
      </c>
      <c r="D515" s="5">
        <v>0.25090000000000001</v>
      </c>
      <c r="E515" s="6">
        <f t="shared" si="31"/>
        <v>301.08000000000004</v>
      </c>
      <c r="I515" s="26" t="s">
        <v>103</v>
      </c>
      <c r="J515" s="9"/>
      <c r="K515" s="15" t="s">
        <v>124</v>
      </c>
      <c r="L515" s="5">
        <v>0.25090000000000001</v>
      </c>
      <c r="M515" s="6">
        <f t="shared" si="32"/>
        <v>301.08000000000004</v>
      </c>
    </row>
    <row r="516" spans="1:13" x14ac:dyDescent="0.25">
      <c r="A516" s="16" t="s">
        <v>104</v>
      </c>
      <c r="B516" s="9"/>
      <c r="C516" s="15" t="s">
        <v>117</v>
      </c>
      <c r="D516" s="5">
        <v>0.21199999999999999</v>
      </c>
      <c r="E516" s="6">
        <f t="shared" si="31"/>
        <v>254.4</v>
      </c>
      <c r="I516" s="16" t="s">
        <v>104</v>
      </c>
      <c r="J516" s="9"/>
      <c r="K516" s="15" t="s">
        <v>117</v>
      </c>
      <c r="L516" s="5">
        <v>0.21199999999999999</v>
      </c>
      <c r="M516" s="6">
        <f t="shared" si="32"/>
        <v>254.4</v>
      </c>
    </row>
    <row r="517" spans="1:13" x14ac:dyDescent="0.25">
      <c r="A517" s="16" t="s">
        <v>105</v>
      </c>
      <c r="B517" s="9"/>
      <c r="C517" s="15" t="s">
        <v>20</v>
      </c>
      <c r="D517" s="5">
        <v>1E-3</v>
      </c>
      <c r="E517" s="6">
        <f t="shared" si="31"/>
        <v>1.2</v>
      </c>
      <c r="I517" s="16" t="s">
        <v>105</v>
      </c>
      <c r="J517" s="9"/>
      <c r="K517" s="15" t="s">
        <v>20</v>
      </c>
      <c r="L517" s="5">
        <v>1E-3</v>
      </c>
      <c r="M517" s="6">
        <f t="shared" si="32"/>
        <v>1.2</v>
      </c>
    </row>
    <row r="518" spans="1:13" x14ac:dyDescent="0.25">
      <c r="A518" s="2"/>
      <c r="B518" s="12"/>
      <c r="C518" s="2"/>
      <c r="D518" s="23">
        <f>SUM(D504:D517)</f>
        <v>1</v>
      </c>
      <c r="E518" s="19">
        <v>1200</v>
      </c>
      <c r="I518" s="2"/>
      <c r="J518" s="12"/>
      <c r="K518" s="2"/>
      <c r="L518" s="23">
        <f>SUM(L504:L517)</f>
        <v>1</v>
      </c>
      <c r="M518" s="19">
        <v>1200</v>
      </c>
    </row>
    <row r="519" spans="1:13" x14ac:dyDescent="0.25">
      <c r="E519" s="24">
        <f>SUM(E504:E517)</f>
        <v>1200</v>
      </c>
      <c r="M519" s="24">
        <f>SUM(M504:M517)</f>
        <v>1200</v>
      </c>
    </row>
    <row r="523" spans="1:13" x14ac:dyDescent="0.25">
      <c r="A523" s="54" t="s">
        <v>148</v>
      </c>
      <c r="B523" s="54"/>
      <c r="C523" s="54"/>
      <c r="D523" s="54"/>
      <c r="E523" s="54"/>
    </row>
    <row r="524" spans="1:13" x14ac:dyDescent="0.25">
      <c r="A524" s="59" t="s">
        <v>149</v>
      </c>
      <c r="B524" s="59"/>
      <c r="C524" s="59"/>
      <c r="D524" s="59"/>
      <c r="E524" s="59"/>
      <c r="I524" s="54" t="s">
        <v>150</v>
      </c>
      <c r="J524" s="54"/>
      <c r="K524" s="54"/>
      <c r="L524" s="54"/>
      <c r="M524" s="54"/>
    </row>
    <row r="525" spans="1:13" x14ac:dyDescent="0.25">
      <c r="A525" s="3" t="s">
        <v>3</v>
      </c>
      <c r="B525" s="3" t="s">
        <v>97</v>
      </c>
      <c r="D525" s="3" t="s">
        <v>5</v>
      </c>
      <c r="E525" s="3" t="s">
        <v>7</v>
      </c>
      <c r="I525" s="59" t="s">
        <v>151</v>
      </c>
      <c r="J525" s="59"/>
      <c r="K525" s="59"/>
      <c r="L525" s="59"/>
      <c r="M525" s="59"/>
    </row>
    <row r="526" spans="1:13" x14ac:dyDescent="0.25">
      <c r="A526" s="60" t="s">
        <v>98</v>
      </c>
      <c r="B526" s="4"/>
      <c r="C526" s="3" t="s">
        <v>10</v>
      </c>
      <c r="D526" s="5">
        <v>0.17560000000000001</v>
      </c>
      <c r="E526" s="6">
        <f>(E$518*D526)</f>
        <v>210.72</v>
      </c>
      <c r="I526" s="3" t="s">
        <v>3</v>
      </c>
      <c r="J526" s="3" t="s">
        <v>97</v>
      </c>
      <c r="L526" s="3" t="s">
        <v>5</v>
      </c>
      <c r="M526" s="3" t="s">
        <v>7</v>
      </c>
    </row>
    <row r="527" spans="1:13" x14ac:dyDescent="0.25">
      <c r="A527" s="61"/>
      <c r="B527" s="4"/>
      <c r="C527" s="3" t="s">
        <v>13</v>
      </c>
      <c r="D527" s="22">
        <v>1.6000000000000001E-3</v>
      </c>
      <c r="E527" s="6">
        <f>(E$518*D527)</f>
        <v>1.9200000000000002</v>
      </c>
      <c r="I527" s="60" t="s">
        <v>98</v>
      </c>
      <c r="J527" s="4"/>
      <c r="K527" s="3" t="s">
        <v>10</v>
      </c>
      <c r="L527" s="5">
        <v>0.1759</v>
      </c>
      <c r="M527" s="6">
        <f t="shared" ref="M527:M540" si="33">(M$449*L527)</f>
        <v>175.9</v>
      </c>
    </row>
    <row r="528" spans="1:13" x14ac:dyDescent="0.25">
      <c r="A528" s="61"/>
      <c r="B528" s="4"/>
      <c r="C528" s="3" t="s">
        <v>20</v>
      </c>
      <c r="D528" s="22">
        <v>1E-3</v>
      </c>
      <c r="E528" s="6">
        <f>(E$518*D539)</f>
        <v>1.2</v>
      </c>
      <c r="I528" s="61"/>
      <c r="J528" s="4"/>
      <c r="K528" s="3" t="s">
        <v>13</v>
      </c>
      <c r="L528" s="22">
        <v>2E-3</v>
      </c>
      <c r="M528" s="6">
        <f t="shared" si="33"/>
        <v>2</v>
      </c>
    </row>
    <row r="529" spans="1:13" x14ac:dyDescent="0.25">
      <c r="A529" s="61"/>
      <c r="B529" s="9"/>
      <c r="C529" s="3" t="s">
        <v>77</v>
      </c>
      <c r="D529" s="5">
        <v>2E-3</v>
      </c>
      <c r="E529" s="6">
        <f t="shared" ref="E529:E539" si="34">(E$518*D529)</f>
        <v>2.4</v>
      </c>
      <c r="I529" s="61"/>
      <c r="J529" s="4"/>
      <c r="K529" s="3" t="s">
        <v>20</v>
      </c>
      <c r="L529" s="22">
        <v>1E-3</v>
      </c>
      <c r="M529" s="6">
        <f t="shared" si="33"/>
        <v>1</v>
      </c>
    </row>
    <row r="530" spans="1:13" x14ac:dyDescent="0.25">
      <c r="A530" s="61"/>
      <c r="B530" s="9"/>
      <c r="C530" s="3" t="s">
        <v>51</v>
      </c>
      <c r="D530" s="5">
        <v>1.1999999999999999E-3</v>
      </c>
      <c r="E530" s="6">
        <f t="shared" si="34"/>
        <v>1.44</v>
      </c>
      <c r="I530" s="61"/>
      <c r="J530" s="9"/>
      <c r="K530" s="3" t="s">
        <v>77</v>
      </c>
      <c r="L530" s="5">
        <v>2E-3</v>
      </c>
      <c r="M530" s="6">
        <f t="shared" si="33"/>
        <v>2</v>
      </c>
    </row>
    <row r="531" spans="1:13" x14ac:dyDescent="0.25">
      <c r="A531" s="61"/>
      <c r="B531" s="9"/>
      <c r="C531" s="3" t="s">
        <v>20</v>
      </c>
      <c r="D531" s="5">
        <v>1E-3</v>
      </c>
      <c r="E531" s="6">
        <f t="shared" si="34"/>
        <v>1.2</v>
      </c>
      <c r="I531" s="61"/>
      <c r="J531" s="9"/>
      <c r="K531" s="3" t="s">
        <v>51</v>
      </c>
      <c r="L531" s="5">
        <v>1E-3</v>
      </c>
      <c r="M531" s="6">
        <f t="shared" si="33"/>
        <v>1</v>
      </c>
    </row>
    <row r="532" spans="1:13" x14ac:dyDescent="0.25">
      <c r="A532" s="16" t="s">
        <v>99</v>
      </c>
      <c r="B532" s="9"/>
      <c r="C532" s="3" t="s">
        <v>24</v>
      </c>
      <c r="D532" s="5">
        <v>0.12</v>
      </c>
      <c r="E532" s="6">
        <f t="shared" si="34"/>
        <v>144</v>
      </c>
      <c r="I532" s="61"/>
      <c r="J532" s="9"/>
      <c r="K532" s="3" t="s">
        <v>20</v>
      </c>
      <c r="L532" s="5">
        <v>1E-3</v>
      </c>
      <c r="M532" s="6">
        <f t="shared" si="33"/>
        <v>1</v>
      </c>
    </row>
    <row r="533" spans="1:13" x14ac:dyDescent="0.25">
      <c r="A533" s="16" t="s">
        <v>100</v>
      </c>
      <c r="B533" s="9"/>
      <c r="C533" s="3" t="s">
        <v>28</v>
      </c>
      <c r="D533" s="5">
        <v>0.106</v>
      </c>
      <c r="E533" s="6">
        <f t="shared" si="34"/>
        <v>127.2</v>
      </c>
      <c r="I533" s="16" t="s">
        <v>99</v>
      </c>
      <c r="J533" s="9"/>
      <c r="K533" s="3" t="s">
        <v>24</v>
      </c>
      <c r="L533" s="5">
        <v>0.106</v>
      </c>
      <c r="M533" s="6">
        <f t="shared" si="33"/>
        <v>106</v>
      </c>
    </row>
    <row r="534" spans="1:13" x14ac:dyDescent="0.25">
      <c r="A534" s="16" t="s">
        <v>101</v>
      </c>
      <c r="B534" s="9"/>
      <c r="C534" s="3" t="s">
        <v>30</v>
      </c>
      <c r="D534" s="5">
        <v>0.106</v>
      </c>
      <c r="E534" s="6">
        <f t="shared" si="34"/>
        <v>127.2</v>
      </c>
      <c r="I534" s="16" t="s">
        <v>100</v>
      </c>
      <c r="J534" s="9"/>
      <c r="K534" s="3" t="s">
        <v>28</v>
      </c>
      <c r="L534" s="5">
        <v>0.106</v>
      </c>
      <c r="M534" s="6">
        <f t="shared" si="33"/>
        <v>106</v>
      </c>
    </row>
    <row r="535" spans="1:13" x14ac:dyDescent="0.25">
      <c r="A535" s="16" t="s">
        <v>102</v>
      </c>
      <c r="B535" s="9"/>
      <c r="C535" s="15" t="s">
        <v>70</v>
      </c>
      <c r="D535" s="5">
        <v>1.17E-2</v>
      </c>
      <c r="E535" s="6">
        <f t="shared" si="34"/>
        <v>14.040000000000001</v>
      </c>
      <c r="I535" s="16" t="s">
        <v>101</v>
      </c>
      <c r="J535" s="9"/>
      <c r="K535" s="3" t="s">
        <v>30</v>
      </c>
      <c r="L535" s="5">
        <v>0.106</v>
      </c>
      <c r="M535" s="6">
        <f t="shared" si="33"/>
        <v>106</v>
      </c>
    </row>
    <row r="536" spans="1:13" ht="27.6" x14ac:dyDescent="0.25">
      <c r="A536" s="26" t="s">
        <v>103</v>
      </c>
      <c r="B536" s="9"/>
      <c r="C536" s="15" t="s">
        <v>116</v>
      </c>
      <c r="D536" s="5">
        <v>0.2409</v>
      </c>
      <c r="E536" s="6">
        <f t="shared" si="34"/>
        <v>289.08</v>
      </c>
      <c r="I536" s="16" t="s">
        <v>102</v>
      </c>
      <c r="J536" s="9"/>
      <c r="K536" s="15" t="s">
        <v>70</v>
      </c>
      <c r="L536" s="5">
        <v>1.17E-2</v>
      </c>
      <c r="M536" s="6">
        <f t="shared" si="33"/>
        <v>11.700000000000001</v>
      </c>
    </row>
    <row r="537" spans="1:13" ht="27.6" x14ac:dyDescent="0.25">
      <c r="A537" s="26"/>
      <c r="B537" s="9"/>
      <c r="C537" s="15" t="s">
        <v>152</v>
      </c>
      <c r="D537" s="5">
        <v>0.02</v>
      </c>
      <c r="E537" s="6">
        <f t="shared" si="34"/>
        <v>24</v>
      </c>
      <c r="I537" s="26" t="s">
        <v>103</v>
      </c>
      <c r="J537" s="9"/>
      <c r="K537" s="15" t="s">
        <v>32</v>
      </c>
      <c r="L537" s="5">
        <v>0.27489999999999998</v>
      </c>
      <c r="M537" s="6">
        <f t="shared" si="33"/>
        <v>274.89999999999998</v>
      </c>
    </row>
    <row r="538" spans="1:13" x14ac:dyDescent="0.25">
      <c r="A538" s="16" t="s">
        <v>104</v>
      </c>
      <c r="B538" s="9"/>
      <c r="C538" s="15" t="s">
        <v>117</v>
      </c>
      <c r="D538" s="5">
        <v>0.21199999999999999</v>
      </c>
      <c r="E538" s="6">
        <f t="shared" si="34"/>
        <v>254.4</v>
      </c>
      <c r="I538" s="26" t="s">
        <v>131</v>
      </c>
      <c r="J538" s="9"/>
      <c r="K538" s="15" t="s">
        <v>130</v>
      </c>
      <c r="L538" s="5">
        <v>0.02</v>
      </c>
      <c r="M538" s="6">
        <f t="shared" si="33"/>
        <v>20</v>
      </c>
    </row>
    <row r="539" spans="1:13" x14ac:dyDescent="0.25">
      <c r="A539" s="16" t="s">
        <v>105</v>
      </c>
      <c r="B539" s="9"/>
      <c r="C539" s="15" t="s">
        <v>20</v>
      </c>
      <c r="D539" s="5">
        <v>1E-3</v>
      </c>
      <c r="E539" s="6">
        <f t="shared" si="34"/>
        <v>1.2</v>
      </c>
      <c r="I539" s="62" t="s">
        <v>133</v>
      </c>
      <c r="J539" s="9"/>
      <c r="K539" s="15" t="s">
        <v>153</v>
      </c>
      <c r="L539" s="5">
        <v>0.192</v>
      </c>
      <c r="M539" s="6">
        <f t="shared" si="33"/>
        <v>192</v>
      </c>
    </row>
    <row r="540" spans="1:13" x14ac:dyDescent="0.25">
      <c r="A540" s="2"/>
      <c r="B540" s="12"/>
      <c r="C540" s="2"/>
      <c r="D540" s="23">
        <f>SUM(D526:D539)</f>
        <v>1</v>
      </c>
      <c r="E540" s="19">
        <v>1200</v>
      </c>
      <c r="I540" s="63"/>
      <c r="J540" s="9"/>
      <c r="K540" s="15" t="s">
        <v>20</v>
      </c>
      <c r="L540" s="5">
        <v>5.0000000000000001E-4</v>
      </c>
      <c r="M540" s="6">
        <f t="shared" si="33"/>
        <v>0.5</v>
      </c>
    </row>
    <row r="541" spans="1:13" x14ac:dyDescent="0.25">
      <c r="E541" s="24">
        <f>SUM(E526:E539)</f>
        <v>1200</v>
      </c>
      <c r="I541" s="2"/>
      <c r="J541" s="12"/>
      <c r="K541" s="2"/>
      <c r="L541" s="23">
        <f>SUM(L527:L540)</f>
        <v>1</v>
      </c>
      <c r="M541" s="19">
        <v>1000</v>
      </c>
    </row>
    <row r="542" spans="1:13" x14ac:dyDescent="0.25">
      <c r="M542" s="24">
        <f>SUM(M527:M540)</f>
        <v>1000</v>
      </c>
    </row>
    <row r="545" spans="1:13" x14ac:dyDescent="0.25">
      <c r="A545" s="54" t="s">
        <v>154</v>
      </c>
      <c r="B545" s="54"/>
      <c r="C545" s="54"/>
      <c r="D545" s="54"/>
      <c r="E545" s="54"/>
    </row>
    <row r="546" spans="1:13" x14ac:dyDescent="0.25">
      <c r="A546" s="59" t="s">
        <v>155</v>
      </c>
      <c r="B546" s="59"/>
      <c r="C546" s="59"/>
      <c r="D546" s="59"/>
      <c r="E546" s="59"/>
    </row>
    <row r="547" spans="1:13" x14ac:dyDescent="0.25">
      <c r="A547" s="3" t="s">
        <v>3</v>
      </c>
      <c r="B547" s="3" t="s">
        <v>97</v>
      </c>
      <c r="D547" s="3" t="s">
        <v>5</v>
      </c>
      <c r="E547" s="3" t="s">
        <v>7</v>
      </c>
      <c r="I547" s="54" t="s">
        <v>156</v>
      </c>
      <c r="J547" s="54"/>
      <c r="K547" s="54"/>
      <c r="L547" s="54"/>
      <c r="M547" s="54"/>
    </row>
    <row r="548" spans="1:13" x14ac:dyDescent="0.25">
      <c r="A548" s="60" t="s">
        <v>98</v>
      </c>
      <c r="B548" s="4"/>
      <c r="C548" s="3" t="s">
        <v>10</v>
      </c>
      <c r="D548" s="5">
        <v>0.16719999999999999</v>
      </c>
      <c r="E548" s="6">
        <f t="shared" ref="E548:E561" si="35">(E$562*D548)</f>
        <v>167.2</v>
      </c>
      <c r="I548" s="59" t="s">
        <v>157</v>
      </c>
      <c r="J548" s="59"/>
      <c r="K548" s="59"/>
      <c r="L548" s="59"/>
      <c r="M548" s="59"/>
    </row>
    <row r="549" spans="1:13" x14ac:dyDescent="0.25">
      <c r="A549" s="61"/>
      <c r="B549" s="4"/>
      <c r="C549" s="3" t="s">
        <v>13</v>
      </c>
      <c r="D549" s="22">
        <v>1.6000000000000001E-3</v>
      </c>
      <c r="E549" s="6">
        <f t="shared" si="35"/>
        <v>1.6</v>
      </c>
      <c r="I549" s="3" t="s">
        <v>3</v>
      </c>
      <c r="J549" s="3" t="s">
        <v>97</v>
      </c>
      <c r="L549" s="3" t="s">
        <v>5</v>
      </c>
      <c r="M549" s="3" t="s">
        <v>7</v>
      </c>
    </row>
    <row r="550" spans="1:13" x14ac:dyDescent="0.25">
      <c r="A550" s="61"/>
      <c r="B550" s="4"/>
      <c r="C550" s="3" t="s">
        <v>20</v>
      </c>
      <c r="D550" s="22">
        <v>1E-3</v>
      </c>
      <c r="E550" s="6">
        <f t="shared" si="35"/>
        <v>1</v>
      </c>
      <c r="I550" s="60" t="s">
        <v>98</v>
      </c>
      <c r="J550" s="4"/>
      <c r="K550" s="3" t="s">
        <v>10</v>
      </c>
      <c r="L550" s="5">
        <v>0.16719999999999999</v>
      </c>
      <c r="M550" s="6">
        <f t="shared" ref="M550:M563" si="36">(M$564*L550)</f>
        <v>167.2</v>
      </c>
    </row>
    <row r="551" spans="1:13" x14ac:dyDescent="0.25">
      <c r="A551" s="61"/>
      <c r="B551" s="9"/>
      <c r="C551" s="3" t="s">
        <v>77</v>
      </c>
      <c r="D551" s="5">
        <v>2E-3</v>
      </c>
      <c r="E551" s="6">
        <f t="shared" si="35"/>
        <v>2</v>
      </c>
      <c r="I551" s="61"/>
      <c r="J551" s="4"/>
      <c r="K551" s="3" t="s">
        <v>13</v>
      </c>
      <c r="L551" s="22">
        <v>1.6000000000000001E-3</v>
      </c>
      <c r="M551" s="6">
        <f t="shared" si="36"/>
        <v>1.6</v>
      </c>
    </row>
    <row r="552" spans="1:13" x14ac:dyDescent="0.25">
      <c r="A552" s="61"/>
      <c r="B552" s="9"/>
      <c r="C552" s="3" t="s">
        <v>51</v>
      </c>
      <c r="D552" s="5">
        <v>1E-3</v>
      </c>
      <c r="E552" s="6">
        <f t="shared" si="35"/>
        <v>1</v>
      </c>
      <c r="I552" s="61"/>
      <c r="J552" s="4"/>
      <c r="K552" s="3" t="s">
        <v>20</v>
      </c>
      <c r="L552" s="22">
        <v>1E-3</v>
      </c>
      <c r="M552" s="6">
        <f t="shared" si="36"/>
        <v>1</v>
      </c>
    </row>
    <row r="553" spans="1:13" x14ac:dyDescent="0.25">
      <c r="A553" s="61"/>
      <c r="B553" s="9"/>
      <c r="C553" s="3" t="s">
        <v>20</v>
      </c>
      <c r="D553" s="5">
        <v>1E-3</v>
      </c>
      <c r="E553" s="6">
        <f t="shared" si="35"/>
        <v>1</v>
      </c>
      <c r="I553" s="61"/>
      <c r="J553" s="9"/>
      <c r="K553" s="3" t="s">
        <v>77</v>
      </c>
      <c r="L553" s="5">
        <v>2E-3</v>
      </c>
      <c r="M553" s="6">
        <f t="shared" si="36"/>
        <v>2</v>
      </c>
    </row>
    <row r="554" spans="1:13" x14ac:dyDescent="0.25">
      <c r="A554" s="16" t="s">
        <v>99</v>
      </c>
      <c r="B554" s="9"/>
      <c r="C554" s="3" t="s">
        <v>24</v>
      </c>
      <c r="D554" s="5">
        <v>0.12</v>
      </c>
      <c r="E554" s="6">
        <f t="shared" si="35"/>
        <v>120</v>
      </c>
      <c r="I554" s="61"/>
      <c r="J554" s="9"/>
      <c r="K554" s="3" t="s">
        <v>51</v>
      </c>
      <c r="L554" s="5">
        <v>1E-3</v>
      </c>
      <c r="M554" s="6">
        <f t="shared" si="36"/>
        <v>1</v>
      </c>
    </row>
    <row r="555" spans="1:13" x14ac:dyDescent="0.25">
      <c r="A555" s="16" t="s">
        <v>100</v>
      </c>
      <c r="B555" s="9"/>
      <c r="C555" s="3" t="s">
        <v>28</v>
      </c>
      <c r="D555" s="5">
        <v>0.106</v>
      </c>
      <c r="E555" s="6">
        <f t="shared" si="35"/>
        <v>106</v>
      </c>
      <c r="I555" s="61"/>
      <c r="J555" s="9"/>
      <c r="K555" s="3" t="s">
        <v>20</v>
      </c>
      <c r="L555" s="5">
        <v>1E-3</v>
      </c>
      <c r="M555" s="6">
        <f t="shared" si="36"/>
        <v>1</v>
      </c>
    </row>
    <row r="556" spans="1:13" x14ac:dyDescent="0.25">
      <c r="A556" s="16" t="s">
        <v>101</v>
      </c>
      <c r="B556" s="9"/>
      <c r="C556" s="3" t="s">
        <v>30</v>
      </c>
      <c r="D556" s="5">
        <v>0.106</v>
      </c>
      <c r="E556" s="6">
        <f t="shared" si="35"/>
        <v>106</v>
      </c>
      <c r="I556" s="16" t="s">
        <v>99</v>
      </c>
      <c r="J556" s="9"/>
      <c r="K556" s="3" t="s">
        <v>24</v>
      </c>
      <c r="L556" s="5">
        <v>0.12</v>
      </c>
      <c r="M556" s="6">
        <f t="shared" si="36"/>
        <v>120</v>
      </c>
    </row>
    <row r="557" spans="1:13" x14ac:dyDescent="0.25">
      <c r="A557" s="16" t="s">
        <v>102</v>
      </c>
      <c r="B557" s="9"/>
      <c r="C557" s="15" t="s">
        <v>70</v>
      </c>
      <c r="D557" s="5">
        <v>1.17E-2</v>
      </c>
      <c r="E557" s="6">
        <f t="shared" si="35"/>
        <v>11.700000000000001</v>
      </c>
      <c r="I557" s="16" t="s">
        <v>100</v>
      </c>
      <c r="J557" s="9"/>
      <c r="K557" s="3" t="s">
        <v>28</v>
      </c>
      <c r="L557" s="5">
        <v>0.106</v>
      </c>
      <c r="M557" s="6">
        <f t="shared" si="36"/>
        <v>106</v>
      </c>
    </row>
    <row r="558" spans="1:13" ht="27.6" x14ac:dyDescent="0.25">
      <c r="A558" s="26" t="s">
        <v>103</v>
      </c>
      <c r="B558" s="9"/>
      <c r="C558" s="15" t="s">
        <v>32</v>
      </c>
      <c r="D558" s="5">
        <v>0.24</v>
      </c>
      <c r="E558" s="6">
        <f t="shared" si="35"/>
        <v>240</v>
      </c>
      <c r="I558" s="16" t="s">
        <v>101</v>
      </c>
      <c r="J558" s="9"/>
      <c r="K558" s="3" t="s">
        <v>30</v>
      </c>
      <c r="L558" s="5">
        <v>0.106</v>
      </c>
      <c r="M558" s="6">
        <f t="shared" si="36"/>
        <v>106</v>
      </c>
    </row>
    <row r="559" spans="1:13" x14ac:dyDescent="0.25">
      <c r="A559" s="26" t="s">
        <v>131</v>
      </c>
      <c r="B559" s="9"/>
      <c r="C559" s="15" t="s">
        <v>152</v>
      </c>
      <c r="D559" s="5">
        <v>0.03</v>
      </c>
      <c r="E559" s="6">
        <f t="shared" si="35"/>
        <v>30</v>
      </c>
      <c r="I559" s="16" t="s">
        <v>102</v>
      </c>
      <c r="J559" s="9"/>
      <c r="K559" s="15" t="s">
        <v>70</v>
      </c>
      <c r="L559" s="5">
        <v>1.17E-2</v>
      </c>
      <c r="M559" s="6">
        <f t="shared" si="36"/>
        <v>11.700000000000001</v>
      </c>
    </row>
    <row r="560" spans="1:13" ht="27.6" x14ac:dyDescent="0.25">
      <c r="A560" s="62" t="s">
        <v>133</v>
      </c>
      <c r="B560" s="9"/>
      <c r="C560" s="15" t="s">
        <v>110</v>
      </c>
      <c r="D560" s="5">
        <v>0.21199999999999999</v>
      </c>
      <c r="E560" s="6">
        <f t="shared" si="35"/>
        <v>212</v>
      </c>
      <c r="I560" s="26" t="s">
        <v>103</v>
      </c>
      <c r="J560" s="9"/>
      <c r="K560" s="15" t="s">
        <v>32</v>
      </c>
      <c r="L560" s="5">
        <v>0.24</v>
      </c>
      <c r="M560" s="6">
        <f t="shared" si="36"/>
        <v>240</v>
      </c>
    </row>
    <row r="561" spans="1:13" ht="17.399999999999999" x14ac:dyDescent="0.25">
      <c r="A561" s="63"/>
      <c r="B561" s="9"/>
      <c r="C561" s="15" t="s">
        <v>20</v>
      </c>
      <c r="D561" s="5">
        <v>5.0000000000000001E-4</v>
      </c>
      <c r="E561" s="6">
        <f t="shared" si="35"/>
        <v>0.5</v>
      </c>
      <c r="I561" s="26" t="s">
        <v>139</v>
      </c>
      <c r="J561" s="9"/>
      <c r="K561" s="15" t="s">
        <v>152</v>
      </c>
      <c r="L561" s="5">
        <v>0.03</v>
      </c>
      <c r="M561" s="6">
        <f t="shared" si="36"/>
        <v>30</v>
      </c>
    </row>
    <row r="562" spans="1:13" x14ac:dyDescent="0.25">
      <c r="A562" s="2"/>
      <c r="B562" s="12"/>
      <c r="C562" s="2"/>
      <c r="D562" s="23">
        <f>SUM(D548:D561)</f>
        <v>0.99999999999999989</v>
      </c>
      <c r="E562" s="19">
        <v>1000</v>
      </c>
      <c r="I562" s="62" t="s">
        <v>140</v>
      </c>
      <c r="J562" s="9"/>
      <c r="K562" s="15" t="s">
        <v>117</v>
      </c>
      <c r="L562" s="5">
        <v>0.21199999999999999</v>
      </c>
      <c r="M562" s="6">
        <f t="shared" si="36"/>
        <v>212</v>
      </c>
    </row>
    <row r="563" spans="1:13" x14ac:dyDescent="0.25">
      <c r="E563" s="24">
        <f>SUM(E548:E561)</f>
        <v>1000</v>
      </c>
      <c r="I563" s="63"/>
      <c r="J563" s="9"/>
      <c r="K563" s="15" t="s">
        <v>20</v>
      </c>
      <c r="L563" s="5">
        <v>5.0000000000000001E-4</v>
      </c>
      <c r="M563" s="6">
        <f t="shared" si="36"/>
        <v>0.5</v>
      </c>
    </row>
    <row r="564" spans="1:13" x14ac:dyDescent="0.25">
      <c r="I564" s="2"/>
      <c r="J564" s="12"/>
      <c r="K564" s="2"/>
      <c r="L564" s="23">
        <f>SUM(L550:L563)</f>
        <v>0.99999999999999989</v>
      </c>
      <c r="M564" s="19">
        <v>1000</v>
      </c>
    </row>
    <row r="565" spans="1:13" x14ac:dyDescent="0.25">
      <c r="M565" s="24">
        <f>SUM(M550:M563)</f>
        <v>1000</v>
      </c>
    </row>
    <row r="568" spans="1:13" x14ac:dyDescent="0.25">
      <c r="A568" s="54" t="s">
        <v>158</v>
      </c>
      <c r="B568" s="54"/>
      <c r="C568" s="54"/>
      <c r="D568" s="54"/>
      <c r="E568" s="54"/>
      <c r="I568" s="54" t="s">
        <v>159</v>
      </c>
      <c r="J568" s="54"/>
      <c r="K568" s="54"/>
      <c r="L568" s="54"/>
      <c r="M568" s="54"/>
    </row>
    <row r="569" spans="1:13" x14ac:dyDescent="0.25">
      <c r="A569" s="59" t="s">
        <v>160</v>
      </c>
      <c r="B569" s="59"/>
      <c r="C569" s="59"/>
      <c r="D569" s="59"/>
      <c r="E569" s="59"/>
      <c r="I569" s="59" t="s">
        <v>161</v>
      </c>
      <c r="J569" s="59"/>
      <c r="K569" s="59"/>
      <c r="L569" s="59"/>
      <c r="M569" s="59"/>
    </row>
    <row r="570" spans="1:13" x14ac:dyDescent="0.25">
      <c r="A570" s="3" t="s">
        <v>3</v>
      </c>
      <c r="B570" s="3" t="s">
        <v>97</v>
      </c>
      <c r="D570" s="3" t="s">
        <v>5</v>
      </c>
      <c r="E570" s="3" t="s">
        <v>7</v>
      </c>
      <c r="I570" s="3" t="s">
        <v>3</v>
      </c>
      <c r="J570" s="3" t="s">
        <v>97</v>
      </c>
      <c r="L570" s="3" t="s">
        <v>5</v>
      </c>
      <c r="M570" s="3" t="s">
        <v>7</v>
      </c>
    </row>
    <row r="571" spans="1:13" x14ac:dyDescent="0.25">
      <c r="A571" s="60" t="s">
        <v>98</v>
      </c>
      <c r="B571" s="4"/>
      <c r="C571" s="3" t="s">
        <v>10</v>
      </c>
      <c r="D571" s="5">
        <v>0.17560000000000001</v>
      </c>
      <c r="E571" s="6">
        <f>(E$585*D571)</f>
        <v>228.28</v>
      </c>
      <c r="I571" s="60" t="s">
        <v>98</v>
      </c>
      <c r="J571" s="4"/>
      <c r="K571" s="3" t="s">
        <v>10</v>
      </c>
      <c r="L571" s="5">
        <v>0.17560000000000001</v>
      </c>
      <c r="M571" s="6">
        <f>(M$585*L571)</f>
        <v>175.6</v>
      </c>
    </row>
    <row r="572" spans="1:13" x14ac:dyDescent="0.25">
      <c r="A572" s="61"/>
      <c r="B572" s="4"/>
      <c r="C572" s="3" t="s">
        <v>13</v>
      </c>
      <c r="D572" s="22">
        <v>1.6000000000000001E-3</v>
      </c>
      <c r="E572" s="6">
        <f>(E$585*D572)</f>
        <v>2.08</v>
      </c>
      <c r="I572" s="61"/>
      <c r="J572" s="4"/>
      <c r="K572" s="3" t="s">
        <v>13</v>
      </c>
      <c r="L572" s="22">
        <v>1.6000000000000001E-3</v>
      </c>
      <c r="M572" s="6">
        <f>(M$585*L572)</f>
        <v>1.6</v>
      </c>
    </row>
    <row r="573" spans="1:13" x14ac:dyDescent="0.25">
      <c r="A573" s="61"/>
      <c r="B573" s="4"/>
      <c r="C573" s="3" t="s">
        <v>20</v>
      </c>
      <c r="D573" s="22">
        <v>1E-3</v>
      </c>
      <c r="E573" s="6">
        <f>(E$585*D584)</f>
        <v>1.3</v>
      </c>
      <c r="I573" s="61"/>
      <c r="J573" s="4"/>
      <c r="K573" s="3" t="s">
        <v>20</v>
      </c>
      <c r="L573" s="22">
        <v>1E-3</v>
      </c>
      <c r="M573" s="6">
        <f>(M$585*L584)</f>
        <v>1</v>
      </c>
    </row>
    <row r="574" spans="1:13" x14ac:dyDescent="0.25">
      <c r="A574" s="61"/>
      <c r="B574" s="9"/>
      <c r="C574" s="3" t="s">
        <v>77</v>
      </c>
      <c r="D574" s="5">
        <v>2E-3</v>
      </c>
      <c r="E574" s="6">
        <f t="shared" ref="E574:E584" si="37">(E$585*D574)</f>
        <v>2.6</v>
      </c>
      <c r="I574" s="61"/>
      <c r="J574" s="9"/>
      <c r="K574" s="3" t="s">
        <v>77</v>
      </c>
      <c r="L574" s="5">
        <v>2E-3</v>
      </c>
      <c r="M574" s="6">
        <f t="shared" ref="M574:M584" si="38">(M$585*L574)</f>
        <v>2</v>
      </c>
    </row>
    <row r="575" spans="1:13" x14ac:dyDescent="0.25">
      <c r="A575" s="61"/>
      <c r="B575" s="9"/>
      <c r="C575" s="3" t="s">
        <v>51</v>
      </c>
      <c r="D575" s="5">
        <v>1.1999999999999999E-3</v>
      </c>
      <c r="E575" s="6">
        <f t="shared" si="37"/>
        <v>1.5599999999999998</v>
      </c>
      <c r="I575" s="61"/>
      <c r="J575" s="9"/>
      <c r="K575" s="3" t="s">
        <v>51</v>
      </c>
      <c r="L575" s="5">
        <v>1.1999999999999999E-3</v>
      </c>
      <c r="M575" s="6">
        <f t="shared" si="38"/>
        <v>1.2</v>
      </c>
    </row>
    <row r="576" spans="1:13" x14ac:dyDescent="0.25">
      <c r="A576" s="61"/>
      <c r="B576" s="9"/>
      <c r="C576" s="3" t="s">
        <v>20</v>
      </c>
      <c r="D576" s="5">
        <v>1E-3</v>
      </c>
      <c r="E576" s="6">
        <f t="shared" si="37"/>
        <v>1.3</v>
      </c>
      <c r="I576" s="61"/>
      <c r="J576" s="9"/>
      <c r="K576" s="3" t="s">
        <v>20</v>
      </c>
      <c r="L576" s="5">
        <v>1E-3</v>
      </c>
      <c r="M576" s="6">
        <f t="shared" si="38"/>
        <v>1</v>
      </c>
    </row>
    <row r="577" spans="1:13" x14ac:dyDescent="0.25">
      <c r="A577" s="16" t="s">
        <v>99</v>
      </c>
      <c r="B577" s="9"/>
      <c r="C577" s="3" t="s">
        <v>24</v>
      </c>
      <c r="D577" s="5">
        <v>0.12</v>
      </c>
      <c r="E577" s="6">
        <f t="shared" si="37"/>
        <v>156</v>
      </c>
      <c r="I577" s="16" t="s">
        <v>99</v>
      </c>
      <c r="J577" s="9"/>
      <c r="K577" s="3" t="s">
        <v>24</v>
      </c>
      <c r="L577" s="5">
        <v>0.12</v>
      </c>
      <c r="M577" s="6">
        <f t="shared" si="38"/>
        <v>120</v>
      </c>
    </row>
    <row r="578" spans="1:13" x14ac:dyDescent="0.25">
      <c r="A578" s="16" t="s">
        <v>100</v>
      </c>
      <c r="B578" s="9"/>
      <c r="C578" s="3" t="s">
        <v>28</v>
      </c>
      <c r="D578" s="5">
        <v>0.106</v>
      </c>
      <c r="E578" s="6">
        <f t="shared" si="37"/>
        <v>137.79999999999998</v>
      </c>
      <c r="I578" s="16" t="s">
        <v>100</v>
      </c>
      <c r="J578" s="9"/>
      <c r="K578" s="3" t="s">
        <v>28</v>
      </c>
      <c r="L578" s="5">
        <v>0.106</v>
      </c>
      <c r="M578" s="6">
        <f t="shared" si="38"/>
        <v>106</v>
      </c>
    </row>
    <row r="579" spans="1:13" x14ac:dyDescent="0.25">
      <c r="A579" s="16"/>
      <c r="B579" s="9"/>
      <c r="C579" s="3" t="s">
        <v>147</v>
      </c>
      <c r="D579" s="5">
        <v>0.01</v>
      </c>
      <c r="E579" s="6">
        <f t="shared" si="37"/>
        <v>13</v>
      </c>
      <c r="I579" s="16"/>
      <c r="J579" s="9"/>
      <c r="K579" s="3" t="s">
        <v>147</v>
      </c>
      <c r="L579" s="5">
        <v>0.01</v>
      </c>
      <c r="M579" s="6">
        <f t="shared" si="38"/>
        <v>10</v>
      </c>
    </row>
    <row r="580" spans="1:13" x14ac:dyDescent="0.25">
      <c r="A580" s="16" t="s">
        <v>101</v>
      </c>
      <c r="B580" s="9"/>
      <c r="C580" s="3" t="s">
        <v>30</v>
      </c>
      <c r="D580" s="5">
        <v>0.106</v>
      </c>
      <c r="E580" s="6">
        <f t="shared" si="37"/>
        <v>137.79999999999998</v>
      </c>
      <c r="I580" s="16" t="s">
        <v>101</v>
      </c>
      <c r="J580" s="9"/>
      <c r="K580" s="3" t="s">
        <v>30</v>
      </c>
      <c r="L580" s="5">
        <v>0.106</v>
      </c>
      <c r="M580" s="6">
        <f t="shared" si="38"/>
        <v>106</v>
      </c>
    </row>
    <row r="581" spans="1:13" x14ac:dyDescent="0.25">
      <c r="A581" s="16" t="s">
        <v>102</v>
      </c>
      <c r="B581" s="9"/>
      <c r="C581" s="15" t="s">
        <v>70</v>
      </c>
      <c r="D581" s="5">
        <v>1.17E-2</v>
      </c>
      <c r="E581" s="6">
        <f t="shared" si="37"/>
        <v>15.21</v>
      </c>
      <c r="I581" s="16" t="s">
        <v>102</v>
      </c>
      <c r="J581" s="9"/>
      <c r="K581" s="15" t="s">
        <v>70</v>
      </c>
      <c r="L581" s="5">
        <v>1.17E-2</v>
      </c>
      <c r="M581" s="6">
        <f t="shared" si="38"/>
        <v>11.700000000000001</v>
      </c>
    </row>
    <row r="582" spans="1:13" ht="27.6" x14ac:dyDescent="0.25">
      <c r="A582" s="26" t="s">
        <v>103</v>
      </c>
      <c r="B582" s="9"/>
      <c r="C582" s="15" t="s">
        <v>32</v>
      </c>
      <c r="D582" s="5">
        <v>0.25090000000000001</v>
      </c>
      <c r="E582" s="6">
        <f t="shared" si="37"/>
        <v>326.17</v>
      </c>
      <c r="I582" s="26" t="s">
        <v>103</v>
      </c>
      <c r="J582" s="9"/>
      <c r="K582" s="15" t="s">
        <v>32</v>
      </c>
      <c r="L582" s="5">
        <v>0.25090000000000001</v>
      </c>
      <c r="M582" s="6">
        <f t="shared" si="38"/>
        <v>250.9</v>
      </c>
    </row>
    <row r="583" spans="1:13" x14ac:dyDescent="0.25">
      <c r="A583" s="16" t="s">
        <v>104</v>
      </c>
      <c r="B583" s="9"/>
      <c r="C583" s="15" t="s">
        <v>110</v>
      </c>
      <c r="D583" s="5">
        <v>0.21199999999999999</v>
      </c>
      <c r="E583" s="6">
        <f t="shared" si="37"/>
        <v>275.59999999999997</v>
      </c>
      <c r="I583" s="16" t="s">
        <v>104</v>
      </c>
      <c r="J583" s="9"/>
      <c r="K583" s="15" t="s">
        <v>117</v>
      </c>
      <c r="L583" s="5">
        <v>0.21199999999999999</v>
      </c>
      <c r="M583" s="6">
        <f t="shared" si="38"/>
        <v>212</v>
      </c>
    </row>
    <row r="584" spans="1:13" x14ac:dyDescent="0.25">
      <c r="A584" s="16" t="s">
        <v>105</v>
      </c>
      <c r="B584" s="9"/>
      <c r="C584" s="15" t="s">
        <v>20</v>
      </c>
      <c r="D584" s="5">
        <v>1E-3</v>
      </c>
      <c r="E584" s="6">
        <f t="shared" si="37"/>
        <v>1.3</v>
      </c>
      <c r="I584" s="16" t="s">
        <v>105</v>
      </c>
      <c r="J584" s="9"/>
      <c r="K584" s="15" t="s">
        <v>20</v>
      </c>
      <c r="L584" s="5">
        <v>1E-3</v>
      </c>
      <c r="M584" s="6">
        <f t="shared" si="38"/>
        <v>1</v>
      </c>
    </row>
    <row r="585" spans="1:13" x14ac:dyDescent="0.25">
      <c r="A585" s="2"/>
      <c r="B585" s="12"/>
      <c r="C585" s="2"/>
      <c r="D585" s="23">
        <f>SUM(D571:D584)</f>
        <v>1</v>
      </c>
      <c r="E585" s="19">
        <v>1300</v>
      </c>
      <c r="I585" s="2"/>
      <c r="J585" s="12"/>
      <c r="K585" s="2"/>
      <c r="L585" s="23">
        <f>SUM(L571:L584)</f>
        <v>1</v>
      </c>
      <c r="M585" s="19">
        <v>1000</v>
      </c>
    </row>
    <row r="586" spans="1:13" x14ac:dyDescent="0.25">
      <c r="E586" s="24">
        <f>SUM(E571:E584)</f>
        <v>1299.9999999999998</v>
      </c>
      <c r="M586" s="24">
        <f>SUM(M571:M584)</f>
        <v>1000</v>
      </c>
    </row>
    <row r="591" spans="1:13" x14ac:dyDescent="0.25">
      <c r="I591" s="54" t="s">
        <v>162</v>
      </c>
      <c r="J591" s="54"/>
      <c r="K591" s="54"/>
      <c r="L591" s="54"/>
      <c r="M591" s="54"/>
    </row>
    <row r="592" spans="1:13" x14ac:dyDescent="0.25">
      <c r="A592" s="54" t="s">
        <v>163</v>
      </c>
      <c r="B592" s="54"/>
      <c r="C592" s="54"/>
      <c r="D592" s="54"/>
      <c r="E592" s="54"/>
      <c r="I592" s="59" t="s">
        <v>164</v>
      </c>
      <c r="J592" s="59"/>
      <c r="K592" s="59"/>
      <c r="L592" s="59"/>
      <c r="M592" s="59"/>
    </row>
    <row r="593" spans="1:13" x14ac:dyDescent="0.25">
      <c r="A593" s="59" t="s">
        <v>165</v>
      </c>
      <c r="B593" s="59"/>
      <c r="C593" s="59"/>
      <c r="D593" s="59"/>
      <c r="E593" s="59"/>
      <c r="I593" s="3" t="s">
        <v>3</v>
      </c>
      <c r="J593" s="3" t="s">
        <v>97</v>
      </c>
      <c r="L593" s="3" t="s">
        <v>5</v>
      </c>
      <c r="M593" s="3" t="s">
        <v>7</v>
      </c>
    </row>
    <row r="594" spans="1:13" x14ac:dyDescent="0.25">
      <c r="A594" s="3" t="s">
        <v>3</v>
      </c>
      <c r="B594" s="3" t="s">
        <v>97</v>
      </c>
      <c r="D594" s="3" t="s">
        <v>5</v>
      </c>
      <c r="E594" s="3" t="s">
        <v>7</v>
      </c>
      <c r="I594" s="60" t="s">
        <v>98</v>
      </c>
      <c r="J594" s="4"/>
      <c r="K594" s="3" t="s">
        <v>10</v>
      </c>
      <c r="L594" s="5">
        <v>0.1361</v>
      </c>
      <c r="M594" s="6">
        <f>(M$609*L594)</f>
        <v>176.93</v>
      </c>
    </row>
    <row r="595" spans="1:13" x14ac:dyDescent="0.25">
      <c r="A595" s="60" t="s">
        <v>98</v>
      </c>
      <c r="B595" s="4"/>
      <c r="C595" s="3" t="s">
        <v>10</v>
      </c>
      <c r="D595" s="5">
        <v>0.1361</v>
      </c>
      <c r="E595" s="6">
        <f>(E$449*D595)</f>
        <v>136.1</v>
      </c>
      <c r="I595" s="61"/>
      <c r="J595" s="4"/>
      <c r="K595" s="3" t="s">
        <v>166</v>
      </c>
      <c r="L595" s="5">
        <v>0.04</v>
      </c>
      <c r="M595" s="6">
        <f>(M609*L595)</f>
        <v>52</v>
      </c>
    </row>
    <row r="596" spans="1:13" x14ac:dyDescent="0.25">
      <c r="A596" s="61"/>
      <c r="B596" s="4"/>
      <c r="C596" s="3" t="s">
        <v>166</v>
      </c>
      <c r="D596" s="5">
        <v>0.04</v>
      </c>
      <c r="E596" s="6">
        <f>(E610*D596)</f>
        <v>40</v>
      </c>
      <c r="I596" s="61"/>
      <c r="J596" s="4"/>
      <c r="K596" s="3" t="s">
        <v>13</v>
      </c>
      <c r="L596" s="22">
        <v>1.6000000000000001E-3</v>
      </c>
      <c r="M596" s="6">
        <f t="shared" ref="M596:M608" si="39">(M$609*L596)</f>
        <v>2.08</v>
      </c>
    </row>
    <row r="597" spans="1:13" x14ac:dyDescent="0.25">
      <c r="A597" s="61"/>
      <c r="B597" s="4"/>
      <c r="C597" s="3" t="s">
        <v>13</v>
      </c>
      <c r="D597" s="22">
        <v>1.6000000000000001E-3</v>
      </c>
      <c r="E597" s="6">
        <f t="shared" ref="E597:E609" si="40">(E$449*D597)</f>
        <v>1.6</v>
      </c>
      <c r="I597" s="61"/>
      <c r="J597" s="4"/>
      <c r="K597" s="3" t="s">
        <v>20</v>
      </c>
      <c r="L597" s="22">
        <v>1E-3</v>
      </c>
      <c r="M597" s="6">
        <f t="shared" si="39"/>
        <v>1.3</v>
      </c>
    </row>
    <row r="598" spans="1:13" x14ac:dyDescent="0.25">
      <c r="A598" s="61"/>
      <c r="B598" s="4"/>
      <c r="C598" s="3" t="s">
        <v>20</v>
      </c>
      <c r="D598" s="22">
        <v>1E-3</v>
      </c>
      <c r="E598" s="6">
        <f t="shared" si="40"/>
        <v>1</v>
      </c>
      <c r="I598" s="61"/>
      <c r="J598" s="9"/>
      <c r="K598" s="3" t="s">
        <v>77</v>
      </c>
      <c r="L598" s="5">
        <v>2E-3</v>
      </c>
      <c r="M598" s="6">
        <f t="shared" si="39"/>
        <v>2.6</v>
      </c>
    </row>
    <row r="599" spans="1:13" x14ac:dyDescent="0.25">
      <c r="A599" s="61"/>
      <c r="B599" s="9"/>
      <c r="C599" s="3" t="s">
        <v>77</v>
      </c>
      <c r="D599" s="5">
        <v>2E-3</v>
      </c>
      <c r="E599" s="6">
        <f t="shared" si="40"/>
        <v>2</v>
      </c>
      <c r="I599" s="61"/>
      <c r="J599" s="9"/>
      <c r="K599" s="3" t="s">
        <v>51</v>
      </c>
      <c r="L599" s="5">
        <v>1.1999999999999999E-3</v>
      </c>
      <c r="M599" s="6">
        <f t="shared" si="39"/>
        <v>1.5599999999999998</v>
      </c>
    </row>
    <row r="600" spans="1:13" x14ac:dyDescent="0.25">
      <c r="A600" s="61"/>
      <c r="B600" s="9"/>
      <c r="C600" s="3" t="s">
        <v>51</v>
      </c>
      <c r="D600" s="5">
        <v>1.1999999999999999E-3</v>
      </c>
      <c r="E600" s="6">
        <f t="shared" si="40"/>
        <v>1.2</v>
      </c>
      <c r="I600" s="61"/>
      <c r="J600" s="9"/>
      <c r="K600" s="3" t="s">
        <v>20</v>
      </c>
      <c r="L600" s="5">
        <v>1E-3</v>
      </c>
      <c r="M600" s="6">
        <f t="shared" si="39"/>
        <v>1.3</v>
      </c>
    </row>
    <row r="601" spans="1:13" x14ac:dyDescent="0.25">
      <c r="A601" s="61"/>
      <c r="B601" s="9"/>
      <c r="C601" s="3" t="s">
        <v>20</v>
      </c>
      <c r="D601" s="5">
        <v>1E-3</v>
      </c>
      <c r="E601" s="6">
        <f t="shared" si="40"/>
        <v>1</v>
      </c>
      <c r="I601" s="16" t="s">
        <v>99</v>
      </c>
      <c r="J601" s="9"/>
      <c r="K601" s="3" t="s">
        <v>24</v>
      </c>
      <c r="L601" s="5">
        <v>0.12</v>
      </c>
      <c r="M601" s="6">
        <f t="shared" si="39"/>
        <v>156</v>
      </c>
    </row>
    <row r="602" spans="1:13" x14ac:dyDescent="0.25">
      <c r="A602" s="16" t="s">
        <v>99</v>
      </c>
      <c r="B602" s="9"/>
      <c r="C602" s="3" t="s">
        <v>24</v>
      </c>
      <c r="D602" s="5">
        <v>0.12</v>
      </c>
      <c r="E602" s="6">
        <f t="shared" si="40"/>
        <v>120</v>
      </c>
      <c r="I602" s="16" t="s">
        <v>100</v>
      </c>
      <c r="J602" s="9"/>
      <c r="K602" s="3" t="s">
        <v>28</v>
      </c>
      <c r="L602" s="5">
        <v>0.10100000000000001</v>
      </c>
      <c r="M602" s="6">
        <f t="shared" si="39"/>
        <v>131.30000000000001</v>
      </c>
    </row>
    <row r="603" spans="1:13" x14ac:dyDescent="0.25">
      <c r="A603" s="16" t="s">
        <v>100</v>
      </c>
      <c r="B603" s="9"/>
      <c r="C603" s="3" t="s">
        <v>28</v>
      </c>
      <c r="D603" s="5">
        <v>0.10100000000000001</v>
      </c>
      <c r="E603" s="6">
        <f t="shared" si="40"/>
        <v>101</v>
      </c>
      <c r="I603" s="16" t="s">
        <v>101</v>
      </c>
      <c r="J603" s="9"/>
      <c r="K603" s="3" t="s">
        <v>30</v>
      </c>
      <c r="L603" s="5">
        <v>0.10100000000000001</v>
      </c>
      <c r="M603" s="6">
        <f t="shared" si="39"/>
        <v>131.30000000000001</v>
      </c>
    </row>
    <row r="604" spans="1:13" x14ac:dyDescent="0.25">
      <c r="A604" s="16" t="s">
        <v>101</v>
      </c>
      <c r="B604" s="9"/>
      <c r="C604" s="3" t="s">
        <v>30</v>
      </c>
      <c r="D604" s="5">
        <v>0.10100000000000001</v>
      </c>
      <c r="E604" s="6">
        <f t="shared" si="40"/>
        <v>101</v>
      </c>
      <c r="I604" s="16" t="s">
        <v>102</v>
      </c>
      <c r="J604" s="9"/>
      <c r="K604" s="15" t="s">
        <v>70</v>
      </c>
      <c r="L604" s="5">
        <v>1.17E-2</v>
      </c>
      <c r="M604" s="6">
        <f t="shared" si="39"/>
        <v>15.21</v>
      </c>
    </row>
    <row r="605" spans="1:13" ht="27.6" x14ac:dyDescent="0.25">
      <c r="A605" s="16" t="s">
        <v>102</v>
      </c>
      <c r="B605" s="9"/>
      <c r="C605" s="15" t="s">
        <v>70</v>
      </c>
      <c r="D605" s="5">
        <v>1.17E-2</v>
      </c>
      <c r="E605" s="6">
        <f t="shared" si="40"/>
        <v>11.700000000000001</v>
      </c>
      <c r="I605" s="26" t="s">
        <v>103</v>
      </c>
      <c r="J605" s="9"/>
      <c r="K605" s="15" t="s">
        <v>32</v>
      </c>
      <c r="L605" s="5">
        <v>0.2409</v>
      </c>
      <c r="M605" s="6">
        <f t="shared" si="39"/>
        <v>313.17</v>
      </c>
    </row>
    <row r="606" spans="1:13" ht="27.6" x14ac:dyDescent="0.25">
      <c r="A606" s="26" t="s">
        <v>103</v>
      </c>
      <c r="B606" s="9"/>
      <c r="C606" s="15" t="s">
        <v>32</v>
      </c>
      <c r="D606" s="5">
        <v>0.2409</v>
      </c>
      <c r="E606" s="6">
        <f t="shared" si="40"/>
        <v>240.9</v>
      </c>
      <c r="I606" s="26" t="s">
        <v>131</v>
      </c>
      <c r="J606" s="9"/>
      <c r="K606" s="15" t="s">
        <v>130</v>
      </c>
      <c r="L606" s="5">
        <v>0.03</v>
      </c>
      <c r="M606" s="6">
        <f t="shared" si="39"/>
        <v>39</v>
      </c>
    </row>
    <row r="607" spans="1:13" x14ac:dyDescent="0.25">
      <c r="A607" s="26" t="s">
        <v>131</v>
      </c>
      <c r="B607" s="9"/>
      <c r="C607" s="15" t="s">
        <v>130</v>
      </c>
      <c r="D607" s="5">
        <v>0.03</v>
      </c>
      <c r="E607" s="6">
        <f t="shared" si="40"/>
        <v>30</v>
      </c>
      <c r="I607" s="62" t="s">
        <v>133</v>
      </c>
      <c r="J607" s="9"/>
      <c r="K607" s="15" t="s">
        <v>117</v>
      </c>
      <c r="L607" s="5">
        <v>0.21199999999999999</v>
      </c>
      <c r="M607" s="6">
        <f t="shared" si="39"/>
        <v>275.59999999999997</v>
      </c>
    </row>
    <row r="608" spans="1:13" x14ac:dyDescent="0.25">
      <c r="A608" s="62" t="s">
        <v>133</v>
      </c>
      <c r="B608" s="9"/>
      <c r="C608" s="15" t="s">
        <v>110</v>
      </c>
      <c r="D608" s="5">
        <v>0.21199999999999999</v>
      </c>
      <c r="E608" s="6">
        <f t="shared" si="40"/>
        <v>212</v>
      </c>
      <c r="I608" s="63"/>
      <c r="J608" s="9"/>
      <c r="K608" s="15" t="s">
        <v>20</v>
      </c>
      <c r="L608" s="5">
        <v>5.0000000000000001E-4</v>
      </c>
      <c r="M608" s="6">
        <f t="shared" si="39"/>
        <v>0.65</v>
      </c>
    </row>
    <row r="609" spans="1:13" x14ac:dyDescent="0.25">
      <c r="A609" s="63"/>
      <c r="B609" s="9"/>
      <c r="C609" s="15" t="s">
        <v>20</v>
      </c>
      <c r="D609" s="5">
        <v>5.0000000000000001E-4</v>
      </c>
      <c r="E609" s="6">
        <f t="shared" si="40"/>
        <v>0.5</v>
      </c>
      <c r="I609" s="2"/>
      <c r="J609" s="12"/>
      <c r="K609" s="2"/>
      <c r="L609" s="23">
        <f>SUM(L594:L608)</f>
        <v>1</v>
      </c>
      <c r="M609" s="19">
        <v>1300</v>
      </c>
    </row>
    <row r="610" spans="1:13" x14ac:dyDescent="0.25">
      <c r="A610" s="2"/>
      <c r="B610" s="12"/>
      <c r="C610" s="2"/>
      <c r="D610" s="23">
        <f>SUM(D595:D609)</f>
        <v>1</v>
      </c>
      <c r="E610" s="19">
        <v>1000</v>
      </c>
      <c r="M610" s="24">
        <f>SUM(M594:M608)</f>
        <v>1300.0000000000002</v>
      </c>
    </row>
    <row r="611" spans="1:13" x14ac:dyDescent="0.25">
      <c r="E611" s="24">
        <f>SUM(E595:E609)</f>
        <v>1000</v>
      </c>
    </row>
    <row r="617" spans="1:13" x14ac:dyDescent="0.25">
      <c r="A617" s="54" t="s">
        <v>167</v>
      </c>
      <c r="B617" s="54"/>
      <c r="C617" s="54"/>
      <c r="D617" s="54"/>
      <c r="E617" s="54"/>
      <c r="I617" s="54" t="s">
        <v>168</v>
      </c>
      <c r="J617" s="54"/>
      <c r="K617" s="54"/>
      <c r="L617" s="54"/>
      <c r="M617" s="54"/>
    </row>
    <row r="618" spans="1:13" x14ac:dyDescent="0.25">
      <c r="A618" s="59" t="s">
        <v>169</v>
      </c>
      <c r="B618" s="59"/>
      <c r="C618" s="59"/>
      <c r="D618" s="59"/>
      <c r="E618" s="59"/>
      <c r="I618" s="59" t="s">
        <v>170</v>
      </c>
      <c r="J618" s="59"/>
      <c r="K618" s="59"/>
      <c r="L618" s="59"/>
      <c r="M618" s="59"/>
    </row>
    <row r="619" spans="1:13" x14ac:dyDescent="0.25">
      <c r="A619" s="3" t="s">
        <v>3</v>
      </c>
      <c r="B619" s="3" t="s">
        <v>97</v>
      </c>
      <c r="D619" s="3" t="s">
        <v>5</v>
      </c>
      <c r="E619" s="3" t="s">
        <v>7</v>
      </c>
      <c r="I619" s="3" t="s">
        <v>3</v>
      </c>
      <c r="J619" s="3" t="s">
        <v>97</v>
      </c>
      <c r="L619" s="3" t="s">
        <v>5</v>
      </c>
      <c r="M619" s="3" t="s">
        <v>7</v>
      </c>
    </row>
    <row r="620" spans="1:13" x14ac:dyDescent="0.25">
      <c r="A620" s="60" t="s">
        <v>98</v>
      </c>
      <c r="B620" s="4"/>
      <c r="C620" s="3" t="s">
        <v>10</v>
      </c>
      <c r="D620" s="5">
        <v>0.17510000000000001</v>
      </c>
      <c r="E620" s="6">
        <f t="shared" ref="E620:E633" si="41">(E$634*D620)</f>
        <v>175.1</v>
      </c>
      <c r="I620" s="60" t="s">
        <v>98</v>
      </c>
      <c r="J620" s="4"/>
      <c r="K620" s="3" t="s">
        <v>10</v>
      </c>
      <c r="L620" s="5">
        <v>0.17549999999999999</v>
      </c>
      <c r="M620" s="6">
        <f t="shared" ref="M620:M633" si="42">(M$634*L620)</f>
        <v>175.5</v>
      </c>
    </row>
    <row r="621" spans="1:13" x14ac:dyDescent="0.25">
      <c r="A621" s="61"/>
      <c r="B621" s="4"/>
      <c r="C621" s="3" t="s">
        <v>13</v>
      </c>
      <c r="D621" s="22">
        <v>1.6000000000000001E-3</v>
      </c>
      <c r="E621" s="6">
        <f t="shared" si="41"/>
        <v>1.6</v>
      </c>
      <c r="I621" s="61"/>
      <c r="J621" s="4"/>
      <c r="K621" s="3" t="s">
        <v>13</v>
      </c>
      <c r="L621" s="22">
        <v>1.6000000000000001E-3</v>
      </c>
      <c r="M621" s="6">
        <f t="shared" si="42"/>
        <v>1.6</v>
      </c>
    </row>
    <row r="622" spans="1:13" x14ac:dyDescent="0.25">
      <c r="A622" s="61"/>
      <c r="B622" s="4"/>
      <c r="C622" s="3" t="s">
        <v>20</v>
      </c>
      <c r="D622" s="22">
        <v>1E-3</v>
      </c>
      <c r="E622" s="6">
        <f t="shared" si="41"/>
        <v>1</v>
      </c>
      <c r="I622" s="61"/>
      <c r="J622" s="4"/>
      <c r="K622" s="3" t="s">
        <v>20</v>
      </c>
      <c r="L622" s="22">
        <v>1E-3</v>
      </c>
      <c r="M622" s="6">
        <f t="shared" si="42"/>
        <v>1</v>
      </c>
    </row>
    <row r="623" spans="1:13" x14ac:dyDescent="0.25">
      <c r="A623" s="61"/>
      <c r="B623" s="9"/>
      <c r="C623" s="3" t="s">
        <v>77</v>
      </c>
      <c r="D623" s="5">
        <v>2E-3</v>
      </c>
      <c r="E623" s="6">
        <f t="shared" si="41"/>
        <v>2</v>
      </c>
      <c r="I623" s="61"/>
      <c r="J623" s="9"/>
      <c r="K623" s="3" t="s">
        <v>77</v>
      </c>
      <c r="L623" s="5">
        <v>2E-3</v>
      </c>
      <c r="M623" s="6">
        <f t="shared" si="42"/>
        <v>2</v>
      </c>
    </row>
    <row r="624" spans="1:13" x14ac:dyDescent="0.25">
      <c r="A624" s="61"/>
      <c r="B624" s="9"/>
      <c r="C624" s="3" t="s">
        <v>51</v>
      </c>
      <c r="D624" s="5">
        <v>1.6000000000000001E-3</v>
      </c>
      <c r="E624" s="6">
        <f t="shared" si="41"/>
        <v>1.6</v>
      </c>
      <c r="I624" s="61"/>
      <c r="J624" s="9"/>
      <c r="K624" s="3" t="s">
        <v>51</v>
      </c>
      <c r="L624" s="5">
        <v>1.1999999999999999E-3</v>
      </c>
      <c r="M624" s="6">
        <f t="shared" si="42"/>
        <v>1.2</v>
      </c>
    </row>
    <row r="625" spans="1:13" x14ac:dyDescent="0.25">
      <c r="A625" s="61"/>
      <c r="B625" s="9"/>
      <c r="C625" s="3" t="s">
        <v>20</v>
      </c>
      <c r="D625" s="5">
        <v>1E-3</v>
      </c>
      <c r="E625" s="6">
        <f t="shared" si="41"/>
        <v>1</v>
      </c>
      <c r="I625" s="61"/>
      <c r="J625" s="9"/>
      <c r="K625" s="3" t="s">
        <v>20</v>
      </c>
      <c r="L625" s="5">
        <v>1E-3</v>
      </c>
      <c r="M625" s="6">
        <f t="shared" si="42"/>
        <v>1</v>
      </c>
    </row>
    <row r="626" spans="1:13" x14ac:dyDescent="0.25">
      <c r="A626" s="16" t="s">
        <v>99</v>
      </c>
      <c r="B626" s="9"/>
      <c r="C626" s="3" t="s">
        <v>24</v>
      </c>
      <c r="D626" s="5">
        <v>0.12</v>
      </c>
      <c r="E626" s="6">
        <f t="shared" si="41"/>
        <v>120</v>
      </c>
      <c r="I626" s="16" t="s">
        <v>99</v>
      </c>
      <c r="J626" s="9"/>
      <c r="K626" s="3" t="s">
        <v>24</v>
      </c>
      <c r="L626" s="5">
        <v>0.12</v>
      </c>
      <c r="M626" s="6">
        <f t="shared" si="42"/>
        <v>120</v>
      </c>
    </row>
    <row r="627" spans="1:13" x14ac:dyDescent="0.25">
      <c r="A627" s="16" t="s">
        <v>100</v>
      </c>
      <c r="B627" s="9"/>
      <c r="C627" s="3" t="s">
        <v>28</v>
      </c>
      <c r="D627" s="5">
        <v>0.09</v>
      </c>
      <c r="E627" s="6">
        <f t="shared" si="41"/>
        <v>90</v>
      </c>
      <c r="I627" s="16" t="s">
        <v>100</v>
      </c>
      <c r="J627" s="9"/>
      <c r="K627" s="3" t="s">
        <v>28</v>
      </c>
      <c r="L627" s="5">
        <v>0.09</v>
      </c>
      <c r="M627" s="6">
        <f t="shared" si="42"/>
        <v>90</v>
      </c>
    </row>
    <row r="628" spans="1:13" x14ac:dyDescent="0.25">
      <c r="A628" s="16" t="s">
        <v>101</v>
      </c>
      <c r="B628" s="9"/>
      <c r="C628" s="3" t="s">
        <v>30</v>
      </c>
      <c r="D628" s="5">
        <v>0.09</v>
      </c>
      <c r="E628" s="6">
        <f t="shared" si="41"/>
        <v>90</v>
      </c>
      <c r="I628" s="16" t="s">
        <v>101</v>
      </c>
      <c r="J628" s="9"/>
      <c r="K628" s="3" t="s">
        <v>30</v>
      </c>
      <c r="L628" s="5">
        <v>0.09</v>
      </c>
      <c r="M628" s="6">
        <f t="shared" si="42"/>
        <v>90</v>
      </c>
    </row>
    <row r="629" spans="1:13" x14ac:dyDescent="0.25">
      <c r="A629" s="16" t="s">
        <v>102</v>
      </c>
      <c r="B629" s="9"/>
      <c r="C629" s="15" t="s">
        <v>70</v>
      </c>
      <c r="D629" s="5">
        <v>1.17E-2</v>
      </c>
      <c r="E629" s="6">
        <f t="shared" si="41"/>
        <v>11.700000000000001</v>
      </c>
      <c r="I629" s="16" t="s">
        <v>102</v>
      </c>
      <c r="J629" s="9"/>
      <c r="K629" s="15" t="s">
        <v>70</v>
      </c>
      <c r="L629" s="5">
        <v>1.17E-2</v>
      </c>
      <c r="M629" s="6">
        <f t="shared" si="42"/>
        <v>11.700000000000001</v>
      </c>
    </row>
    <row r="630" spans="1:13" ht="27.6" x14ac:dyDescent="0.25">
      <c r="A630" s="26" t="s">
        <v>103</v>
      </c>
      <c r="B630" s="9"/>
      <c r="C630" s="15" t="s">
        <v>124</v>
      </c>
      <c r="D630" s="5">
        <v>0.25</v>
      </c>
      <c r="E630" s="6">
        <f t="shared" si="41"/>
        <v>250</v>
      </c>
      <c r="I630" s="26" t="s">
        <v>103</v>
      </c>
      <c r="J630" s="9"/>
      <c r="K630" s="15" t="s">
        <v>124</v>
      </c>
      <c r="L630" s="5">
        <v>0.25</v>
      </c>
      <c r="M630" s="6">
        <f t="shared" si="42"/>
        <v>250</v>
      </c>
    </row>
    <row r="631" spans="1:13" x14ac:dyDescent="0.25">
      <c r="A631" s="26" t="s">
        <v>131</v>
      </c>
      <c r="B631" s="9"/>
      <c r="C631" s="15" t="s">
        <v>130</v>
      </c>
      <c r="D631" s="5">
        <v>0.03</v>
      </c>
      <c r="E631" s="6">
        <f t="shared" si="41"/>
        <v>30</v>
      </c>
      <c r="I631" s="26" t="s">
        <v>131</v>
      </c>
      <c r="J631" s="9"/>
      <c r="K631" s="15" t="s">
        <v>130</v>
      </c>
      <c r="L631" s="5">
        <v>0.03</v>
      </c>
      <c r="M631" s="6">
        <f t="shared" si="42"/>
        <v>30</v>
      </c>
    </row>
    <row r="632" spans="1:13" x14ac:dyDescent="0.25">
      <c r="A632" s="16" t="s">
        <v>104</v>
      </c>
      <c r="B632" s="9"/>
      <c r="C632" s="15" t="s">
        <v>117</v>
      </c>
      <c r="D632" s="5">
        <v>0.22500000000000001</v>
      </c>
      <c r="E632" s="6">
        <f t="shared" si="41"/>
        <v>225</v>
      </c>
      <c r="I632" s="16" t="s">
        <v>104</v>
      </c>
      <c r="J632" s="9"/>
      <c r="K632" s="15" t="s">
        <v>110</v>
      </c>
      <c r="L632" s="5">
        <v>0.22500000000000001</v>
      </c>
      <c r="M632" s="6">
        <f t="shared" si="42"/>
        <v>225</v>
      </c>
    </row>
    <row r="633" spans="1:13" x14ac:dyDescent="0.25">
      <c r="A633" s="16" t="s">
        <v>105</v>
      </c>
      <c r="B633" s="9"/>
      <c r="C633" s="15" t="s">
        <v>20</v>
      </c>
      <c r="D633" s="5">
        <v>1E-3</v>
      </c>
      <c r="E633" s="6">
        <f t="shared" si="41"/>
        <v>1</v>
      </c>
      <c r="I633" s="16" t="s">
        <v>105</v>
      </c>
      <c r="J633" s="9"/>
      <c r="K633" s="15" t="s">
        <v>20</v>
      </c>
      <c r="L633" s="5">
        <v>1E-3</v>
      </c>
      <c r="M633" s="6">
        <f t="shared" si="42"/>
        <v>1</v>
      </c>
    </row>
    <row r="634" spans="1:13" x14ac:dyDescent="0.25">
      <c r="A634" s="2"/>
      <c r="B634" s="12"/>
      <c r="C634" s="2"/>
      <c r="D634" s="23">
        <f>SUM(D620:D633)</f>
        <v>1</v>
      </c>
      <c r="E634" s="19">
        <v>1000</v>
      </c>
      <c r="I634" s="2"/>
      <c r="J634" s="12"/>
      <c r="K634" s="2"/>
      <c r="L634" s="23">
        <f>SUM(L620:L633)</f>
        <v>1</v>
      </c>
      <c r="M634" s="19">
        <v>1000</v>
      </c>
    </row>
    <row r="635" spans="1:13" x14ac:dyDescent="0.25">
      <c r="E635" s="24">
        <f>SUM(E620:E633)</f>
        <v>1000</v>
      </c>
      <c r="M635" s="24">
        <f>SUM(M620:M633)</f>
        <v>1000</v>
      </c>
    </row>
    <row r="642" spans="1:13" x14ac:dyDescent="0.25">
      <c r="A642" s="54" t="s">
        <v>171</v>
      </c>
      <c r="B642" s="54"/>
      <c r="C642" s="54"/>
      <c r="D642" s="54"/>
      <c r="E642" s="54"/>
      <c r="I642" s="54" t="s">
        <v>172</v>
      </c>
      <c r="J642" s="54"/>
      <c r="K642" s="54"/>
      <c r="L642" s="54"/>
      <c r="M642" s="54"/>
    </row>
    <row r="643" spans="1:13" x14ac:dyDescent="0.25">
      <c r="A643" s="59" t="s">
        <v>169</v>
      </c>
      <c r="B643" s="59"/>
      <c r="C643" s="59"/>
      <c r="D643" s="59"/>
      <c r="E643" s="59"/>
      <c r="I643" s="59" t="s">
        <v>173</v>
      </c>
      <c r="J643" s="59"/>
      <c r="K643" s="59"/>
      <c r="L643" s="59"/>
      <c r="M643" s="59"/>
    </row>
    <row r="644" spans="1:13" x14ac:dyDescent="0.25">
      <c r="A644" s="3" t="s">
        <v>3</v>
      </c>
      <c r="B644" s="3" t="s">
        <v>97</v>
      </c>
      <c r="D644" s="3" t="s">
        <v>5</v>
      </c>
      <c r="E644" s="3" t="s">
        <v>7</v>
      </c>
      <c r="I644" s="3" t="s">
        <v>3</v>
      </c>
      <c r="J644" s="3" t="s">
        <v>97</v>
      </c>
      <c r="L644" s="3" t="s">
        <v>5</v>
      </c>
      <c r="M644" s="3" t="s">
        <v>7</v>
      </c>
    </row>
    <row r="645" spans="1:13" x14ac:dyDescent="0.25">
      <c r="A645" s="60" t="s">
        <v>98</v>
      </c>
      <c r="B645" s="4"/>
      <c r="C645" s="3" t="s">
        <v>10</v>
      </c>
      <c r="D645" s="5">
        <v>0.16159999999999999</v>
      </c>
      <c r="E645" s="6">
        <f t="shared" ref="E645:E658" si="43">(E$634*D645)</f>
        <v>161.6</v>
      </c>
      <c r="I645" s="60" t="s">
        <v>98</v>
      </c>
      <c r="J645" s="4"/>
      <c r="K645" s="3" t="s">
        <v>10</v>
      </c>
      <c r="L645" s="5">
        <v>0.16159999999999999</v>
      </c>
      <c r="M645" s="6">
        <f>(M659*L645)</f>
        <v>177.76</v>
      </c>
    </row>
    <row r="646" spans="1:13" x14ac:dyDescent="0.25">
      <c r="A646" s="61"/>
      <c r="B646" s="4"/>
      <c r="C646" s="3" t="s">
        <v>13</v>
      </c>
      <c r="D646" s="22">
        <v>2E-3</v>
      </c>
      <c r="E646" s="6">
        <f t="shared" si="43"/>
        <v>2</v>
      </c>
      <c r="I646" s="61"/>
      <c r="J646" s="4"/>
      <c r="K646" s="3" t="s">
        <v>13</v>
      </c>
      <c r="L646" s="22">
        <v>2E-3</v>
      </c>
      <c r="M646" s="6">
        <f t="shared" ref="M646:M658" si="44">(M$659*L646)</f>
        <v>2.2000000000000002</v>
      </c>
    </row>
    <row r="647" spans="1:13" x14ac:dyDescent="0.25">
      <c r="A647" s="61"/>
      <c r="B647" s="4"/>
      <c r="C647" s="3" t="s">
        <v>20</v>
      </c>
      <c r="D647" s="22">
        <v>1E-3</v>
      </c>
      <c r="E647" s="6">
        <f t="shared" si="43"/>
        <v>1</v>
      </c>
      <c r="I647" s="61"/>
      <c r="J647" s="4"/>
      <c r="K647" s="3" t="s">
        <v>20</v>
      </c>
      <c r="L647" s="22">
        <v>1E-3</v>
      </c>
      <c r="M647" s="6">
        <f t="shared" si="44"/>
        <v>1.1000000000000001</v>
      </c>
    </row>
    <row r="648" spans="1:13" x14ac:dyDescent="0.25">
      <c r="A648" s="61"/>
      <c r="B648" s="9"/>
      <c r="C648" s="3" t="s">
        <v>77</v>
      </c>
      <c r="D648" s="5">
        <v>2E-3</v>
      </c>
      <c r="E648" s="6">
        <f t="shared" si="43"/>
        <v>2</v>
      </c>
      <c r="I648" s="61"/>
      <c r="J648" s="9"/>
      <c r="K648" s="3" t="s">
        <v>77</v>
      </c>
      <c r="L648" s="5">
        <v>2E-3</v>
      </c>
      <c r="M648" s="6">
        <f t="shared" si="44"/>
        <v>2.2000000000000002</v>
      </c>
    </row>
    <row r="649" spans="1:13" x14ac:dyDescent="0.25">
      <c r="A649" s="61"/>
      <c r="B649" s="9"/>
      <c r="C649" s="3" t="s">
        <v>51</v>
      </c>
      <c r="D649" s="5">
        <v>1.4E-3</v>
      </c>
      <c r="E649" s="6">
        <f t="shared" si="43"/>
        <v>1.4</v>
      </c>
      <c r="I649" s="61"/>
      <c r="J649" s="9"/>
      <c r="K649" s="3" t="s">
        <v>51</v>
      </c>
      <c r="L649" s="5">
        <v>1.4E-3</v>
      </c>
      <c r="M649" s="6">
        <f t="shared" si="44"/>
        <v>1.54</v>
      </c>
    </row>
    <row r="650" spans="1:13" x14ac:dyDescent="0.25">
      <c r="A650" s="61"/>
      <c r="B650" s="9"/>
      <c r="C650" s="3" t="s">
        <v>20</v>
      </c>
      <c r="D650" s="5">
        <v>1E-3</v>
      </c>
      <c r="E650" s="6">
        <f t="shared" si="43"/>
        <v>1</v>
      </c>
      <c r="I650" s="61"/>
      <c r="J650" s="9"/>
      <c r="K650" s="3" t="s">
        <v>20</v>
      </c>
      <c r="L650" s="5">
        <v>1E-3</v>
      </c>
      <c r="M650" s="6">
        <f t="shared" si="44"/>
        <v>1.1000000000000001</v>
      </c>
    </row>
    <row r="651" spans="1:13" x14ac:dyDescent="0.25">
      <c r="A651" s="16" t="s">
        <v>99</v>
      </c>
      <c r="B651" s="9"/>
      <c r="C651" s="3" t="s">
        <v>24</v>
      </c>
      <c r="D651" s="5">
        <v>0.12</v>
      </c>
      <c r="E651" s="6">
        <f t="shared" si="43"/>
        <v>120</v>
      </c>
      <c r="I651" s="16" t="s">
        <v>99</v>
      </c>
      <c r="J651" s="9"/>
      <c r="K651" s="3" t="s">
        <v>24</v>
      </c>
      <c r="L651" s="5">
        <v>0.12</v>
      </c>
      <c r="M651" s="6">
        <f t="shared" si="44"/>
        <v>132</v>
      </c>
    </row>
    <row r="652" spans="1:13" x14ac:dyDescent="0.25">
      <c r="A652" s="16" t="s">
        <v>100</v>
      </c>
      <c r="B652" s="9"/>
      <c r="C652" s="3" t="s">
        <v>28</v>
      </c>
      <c r="D652" s="5">
        <v>8.5000000000000006E-2</v>
      </c>
      <c r="E652" s="6">
        <f t="shared" si="43"/>
        <v>85</v>
      </c>
      <c r="I652" s="16" t="s">
        <v>100</v>
      </c>
      <c r="J652" s="9"/>
      <c r="K652" s="3" t="s">
        <v>28</v>
      </c>
      <c r="L652" s="5">
        <v>8.5000000000000006E-2</v>
      </c>
      <c r="M652" s="6">
        <f t="shared" si="44"/>
        <v>93.5</v>
      </c>
    </row>
    <row r="653" spans="1:13" x14ac:dyDescent="0.25">
      <c r="A653" s="16" t="s">
        <v>101</v>
      </c>
      <c r="B653" s="9"/>
      <c r="C653" s="3" t="s">
        <v>30</v>
      </c>
      <c r="D653" s="5">
        <v>8.5000000000000006E-2</v>
      </c>
      <c r="E653" s="6">
        <f t="shared" si="43"/>
        <v>85</v>
      </c>
      <c r="I653" s="16" t="s">
        <v>101</v>
      </c>
      <c r="J653" s="9"/>
      <c r="K653" s="3" t="s">
        <v>30</v>
      </c>
      <c r="L653" s="5">
        <v>8.5000000000000006E-2</v>
      </c>
      <c r="M653" s="6">
        <f t="shared" si="44"/>
        <v>93.5</v>
      </c>
    </row>
    <row r="654" spans="1:13" x14ac:dyDescent="0.25">
      <c r="A654" s="16" t="s">
        <v>102</v>
      </c>
      <c r="B654" s="9"/>
      <c r="C654" s="15" t="s">
        <v>70</v>
      </c>
      <c r="D654" s="5">
        <v>0.01</v>
      </c>
      <c r="E654" s="6">
        <f t="shared" si="43"/>
        <v>10</v>
      </c>
      <c r="I654" s="16" t="s">
        <v>102</v>
      </c>
      <c r="J654" s="9"/>
      <c r="K654" s="15" t="s">
        <v>70</v>
      </c>
      <c r="L654" s="5">
        <v>7.0000000000000001E-3</v>
      </c>
      <c r="M654" s="6">
        <f t="shared" si="44"/>
        <v>7.7</v>
      </c>
    </row>
    <row r="655" spans="1:13" ht="27.6" x14ac:dyDescent="0.25">
      <c r="A655" s="26" t="s">
        <v>103</v>
      </c>
      <c r="B655" s="9"/>
      <c r="C655" s="15" t="s">
        <v>124</v>
      </c>
      <c r="D655" s="5">
        <v>0.25</v>
      </c>
      <c r="E655" s="6">
        <f t="shared" si="43"/>
        <v>250</v>
      </c>
      <c r="I655" s="26" t="s">
        <v>103</v>
      </c>
      <c r="J655" s="9"/>
      <c r="K655" s="15" t="s">
        <v>124</v>
      </c>
      <c r="L655" s="5">
        <v>0.25</v>
      </c>
      <c r="M655" s="6">
        <f t="shared" si="44"/>
        <v>275</v>
      </c>
    </row>
    <row r="656" spans="1:13" x14ac:dyDescent="0.25">
      <c r="A656" s="26" t="s">
        <v>131</v>
      </c>
      <c r="B656" s="9"/>
      <c r="C656" s="15" t="s">
        <v>130</v>
      </c>
      <c r="D656" s="5">
        <v>0.03</v>
      </c>
      <c r="E656" s="6">
        <f t="shared" si="43"/>
        <v>30</v>
      </c>
      <c r="I656" s="26" t="s">
        <v>131</v>
      </c>
      <c r="J656" s="9"/>
      <c r="K656" s="15" t="s">
        <v>130</v>
      </c>
      <c r="L656" s="5">
        <v>0.03</v>
      </c>
      <c r="M656" s="6">
        <f t="shared" si="44"/>
        <v>33</v>
      </c>
    </row>
    <row r="657" spans="1:13" x14ac:dyDescent="0.25">
      <c r="A657" s="16" t="s">
        <v>104</v>
      </c>
      <c r="B657" s="9"/>
      <c r="C657" s="15" t="s">
        <v>117</v>
      </c>
      <c r="D657" s="5">
        <v>0.25</v>
      </c>
      <c r="E657" s="6">
        <f t="shared" si="43"/>
        <v>250</v>
      </c>
      <c r="I657" s="16" t="s">
        <v>104</v>
      </c>
      <c r="J657" s="9"/>
      <c r="K657" s="15" t="s">
        <v>110</v>
      </c>
      <c r="L657" s="5">
        <v>0.253</v>
      </c>
      <c r="M657" s="6">
        <f t="shared" si="44"/>
        <v>278.3</v>
      </c>
    </row>
    <row r="658" spans="1:13" x14ac:dyDescent="0.25">
      <c r="A658" s="16" t="s">
        <v>105</v>
      </c>
      <c r="B658" s="9"/>
      <c r="C658" s="15" t="s">
        <v>20</v>
      </c>
      <c r="D658" s="5">
        <v>1E-3</v>
      </c>
      <c r="E658" s="6">
        <f t="shared" si="43"/>
        <v>1</v>
      </c>
      <c r="I658" s="16" t="s">
        <v>105</v>
      </c>
      <c r="J658" s="9"/>
      <c r="K658" s="15" t="s">
        <v>20</v>
      </c>
      <c r="L658" s="5">
        <v>1E-3</v>
      </c>
      <c r="M658" s="6">
        <f t="shared" si="44"/>
        <v>1.1000000000000001</v>
      </c>
    </row>
    <row r="659" spans="1:13" x14ac:dyDescent="0.25">
      <c r="A659" s="2"/>
      <c r="B659" s="12"/>
      <c r="C659" s="2"/>
      <c r="D659" s="23">
        <f>SUM(D645:D658)</f>
        <v>1</v>
      </c>
      <c r="E659" s="19">
        <v>1000</v>
      </c>
      <c r="I659" s="2"/>
      <c r="J659" s="12"/>
      <c r="K659" s="2"/>
      <c r="L659" s="23">
        <f>SUM(L645:L658)</f>
        <v>1</v>
      </c>
      <c r="M659" s="19">
        <v>1100</v>
      </c>
    </row>
    <row r="660" spans="1:13" x14ac:dyDescent="0.25">
      <c r="E660" s="24">
        <f>SUM(E645:E658)</f>
        <v>1000</v>
      </c>
      <c r="M660" s="24">
        <f>SUM(M645:M658)</f>
        <v>1100</v>
      </c>
    </row>
    <row r="665" spans="1:13" x14ac:dyDescent="0.25">
      <c r="A665" s="54" t="s">
        <v>174</v>
      </c>
      <c r="B665" s="54"/>
      <c r="C665" s="54"/>
      <c r="D665" s="54"/>
      <c r="E665" s="54"/>
      <c r="I665" s="54" t="s">
        <v>175</v>
      </c>
      <c r="J665" s="54"/>
      <c r="K665" s="54"/>
      <c r="L665" s="54"/>
      <c r="M665" s="54"/>
    </row>
    <row r="666" spans="1:13" x14ac:dyDescent="0.25">
      <c r="A666" s="59" t="s">
        <v>176</v>
      </c>
      <c r="B666" s="59"/>
      <c r="C666" s="59"/>
      <c r="D666" s="59"/>
      <c r="E666" s="59"/>
      <c r="I666" s="59" t="s">
        <v>177</v>
      </c>
      <c r="J666" s="59"/>
      <c r="K666" s="59"/>
      <c r="L666" s="59"/>
      <c r="M666" s="59"/>
    </row>
    <row r="667" spans="1:13" x14ac:dyDescent="0.25">
      <c r="A667" s="3" t="s">
        <v>3</v>
      </c>
      <c r="B667" s="3" t="s">
        <v>97</v>
      </c>
      <c r="D667" s="3" t="s">
        <v>5</v>
      </c>
      <c r="E667" s="3" t="s">
        <v>7</v>
      </c>
      <c r="I667" s="3" t="s">
        <v>3</v>
      </c>
      <c r="J667" s="3" t="s">
        <v>97</v>
      </c>
      <c r="L667" s="3" t="s">
        <v>5</v>
      </c>
      <c r="M667" s="3" t="s">
        <v>7</v>
      </c>
    </row>
    <row r="668" spans="1:13" x14ac:dyDescent="0.25">
      <c r="A668" s="60" t="s">
        <v>98</v>
      </c>
      <c r="B668" s="4"/>
      <c r="C668" s="3" t="s">
        <v>10</v>
      </c>
      <c r="D668" s="5">
        <v>0.16159999999999999</v>
      </c>
      <c r="E668" s="6">
        <f>(E682*D668)</f>
        <v>177.76</v>
      </c>
      <c r="I668" s="60" t="s">
        <v>98</v>
      </c>
      <c r="J668" s="4"/>
      <c r="K668" s="3" t="s">
        <v>10</v>
      </c>
      <c r="L668" s="5">
        <v>0.16159999999999999</v>
      </c>
      <c r="M668" s="6">
        <f>(M682*L668)</f>
        <v>177.76</v>
      </c>
    </row>
    <row r="669" spans="1:13" x14ac:dyDescent="0.25">
      <c r="A669" s="61"/>
      <c r="B669" s="4"/>
      <c r="C669" s="3" t="s">
        <v>13</v>
      </c>
      <c r="D669" s="22">
        <v>2E-3</v>
      </c>
      <c r="E669" s="6">
        <f>(E682*D669)</f>
        <v>2.2000000000000002</v>
      </c>
      <c r="I669" s="61"/>
      <c r="J669" s="4"/>
      <c r="K669" s="3" t="s">
        <v>13</v>
      </c>
      <c r="L669" s="22">
        <v>2E-3</v>
      </c>
      <c r="M669" s="6">
        <f t="shared" ref="M669:M681" si="45">(M$659*L669)</f>
        <v>2.2000000000000002</v>
      </c>
    </row>
    <row r="670" spans="1:13" x14ac:dyDescent="0.25">
      <c r="A670" s="61"/>
      <c r="B670" s="4"/>
      <c r="C670" s="3" t="s">
        <v>20</v>
      </c>
      <c r="D670" s="22">
        <v>1E-3</v>
      </c>
      <c r="E670" s="6">
        <f>(E682*D670)</f>
        <v>1.1000000000000001</v>
      </c>
      <c r="I670" s="61"/>
      <c r="J670" s="4"/>
      <c r="K670" s="3" t="s">
        <v>20</v>
      </c>
      <c r="L670" s="22">
        <v>1E-3</v>
      </c>
      <c r="M670" s="6">
        <f t="shared" si="45"/>
        <v>1.1000000000000001</v>
      </c>
    </row>
    <row r="671" spans="1:13" x14ac:dyDescent="0.25">
      <c r="A671" s="61"/>
      <c r="B671" s="9"/>
      <c r="C671" s="3" t="s">
        <v>77</v>
      </c>
      <c r="D671" s="5">
        <v>2E-3</v>
      </c>
      <c r="E671" s="6">
        <f>(E682*D671)</f>
        <v>2.2000000000000002</v>
      </c>
      <c r="I671" s="61"/>
      <c r="J671" s="9"/>
      <c r="K671" s="3" t="s">
        <v>77</v>
      </c>
      <c r="L671" s="5">
        <v>2E-3</v>
      </c>
      <c r="M671" s="6">
        <f t="shared" si="45"/>
        <v>2.2000000000000002</v>
      </c>
    </row>
    <row r="672" spans="1:13" x14ac:dyDescent="0.25">
      <c r="A672" s="61"/>
      <c r="B672" s="9"/>
      <c r="C672" s="3" t="s">
        <v>51</v>
      </c>
      <c r="D672" s="5">
        <v>1.4E-3</v>
      </c>
      <c r="E672" s="6">
        <f>(E$682*D672)</f>
        <v>1.54</v>
      </c>
      <c r="I672" s="61"/>
      <c r="J672" s="9"/>
      <c r="K672" s="3" t="s">
        <v>51</v>
      </c>
      <c r="L672" s="5">
        <v>1.4E-3</v>
      </c>
      <c r="M672" s="6">
        <f t="shared" si="45"/>
        <v>1.54</v>
      </c>
    </row>
    <row r="673" spans="1:13" x14ac:dyDescent="0.25">
      <c r="A673" s="61"/>
      <c r="B673" s="9"/>
      <c r="C673" s="3" t="s">
        <v>20</v>
      </c>
      <c r="D673" s="5">
        <v>1E-3</v>
      </c>
      <c r="E673" s="6">
        <f>(E682*D673)</f>
        <v>1.1000000000000001</v>
      </c>
      <c r="I673" s="61"/>
      <c r="J673" s="9"/>
      <c r="K673" s="3" t="s">
        <v>20</v>
      </c>
      <c r="L673" s="5">
        <v>1E-3</v>
      </c>
      <c r="M673" s="6">
        <f t="shared" si="45"/>
        <v>1.1000000000000001</v>
      </c>
    </row>
    <row r="674" spans="1:13" x14ac:dyDescent="0.25">
      <c r="A674" s="16" t="s">
        <v>99</v>
      </c>
      <c r="B674" s="9"/>
      <c r="C674" s="3" t="s">
        <v>24</v>
      </c>
      <c r="D674" s="5">
        <v>0.12</v>
      </c>
      <c r="E674" s="6">
        <f>(E682*D674)</f>
        <v>132</v>
      </c>
      <c r="I674" s="16" t="s">
        <v>99</v>
      </c>
      <c r="J674" s="9"/>
      <c r="K674" s="3" t="s">
        <v>178</v>
      </c>
      <c r="L674" s="5">
        <v>0.12</v>
      </c>
      <c r="M674" s="6">
        <f t="shared" si="45"/>
        <v>132</v>
      </c>
    </row>
    <row r="675" spans="1:13" x14ac:dyDescent="0.25">
      <c r="A675" s="16" t="s">
        <v>100</v>
      </c>
      <c r="B675" s="9"/>
      <c r="C675" s="3" t="s">
        <v>28</v>
      </c>
      <c r="D675" s="5">
        <v>8.5000000000000006E-2</v>
      </c>
      <c r="E675" s="6">
        <f>(E682*D675)</f>
        <v>93.5</v>
      </c>
      <c r="I675" s="16" t="s">
        <v>100</v>
      </c>
      <c r="J675" s="9"/>
      <c r="K675" s="3" t="s">
        <v>28</v>
      </c>
      <c r="L675" s="5">
        <v>8.5000000000000006E-2</v>
      </c>
      <c r="M675" s="6">
        <f t="shared" si="45"/>
        <v>93.5</v>
      </c>
    </row>
    <row r="676" spans="1:13" x14ac:dyDescent="0.25">
      <c r="A676" s="16" t="s">
        <v>101</v>
      </c>
      <c r="B676" s="9"/>
      <c r="C676" s="3" t="s">
        <v>30</v>
      </c>
      <c r="D676" s="5">
        <v>8.5000000000000006E-2</v>
      </c>
      <c r="E676" s="6">
        <f>(E682*D676)</f>
        <v>93.5</v>
      </c>
      <c r="I676" s="16" t="s">
        <v>101</v>
      </c>
      <c r="J676" s="9"/>
      <c r="K676" s="3" t="s">
        <v>30</v>
      </c>
      <c r="L676" s="5">
        <v>8.5000000000000006E-2</v>
      </c>
      <c r="M676" s="6">
        <f t="shared" si="45"/>
        <v>93.5</v>
      </c>
    </row>
    <row r="677" spans="1:13" x14ac:dyDescent="0.25">
      <c r="A677" s="16" t="s">
        <v>102</v>
      </c>
      <c r="B677" s="9"/>
      <c r="C677" s="15" t="s">
        <v>70</v>
      </c>
      <c r="D677" s="5">
        <v>7.0000000000000001E-3</v>
      </c>
      <c r="E677" s="6">
        <f>(E682*D677)</f>
        <v>7.7</v>
      </c>
      <c r="I677" s="16" t="s">
        <v>102</v>
      </c>
      <c r="J677" s="9"/>
      <c r="K677" s="15" t="s">
        <v>70</v>
      </c>
      <c r="L677" s="5">
        <v>7.0000000000000001E-3</v>
      </c>
      <c r="M677" s="6">
        <f t="shared" si="45"/>
        <v>7.7</v>
      </c>
    </row>
    <row r="678" spans="1:13" ht="27.6" x14ac:dyDescent="0.25">
      <c r="A678" s="26" t="s">
        <v>103</v>
      </c>
      <c r="B678" s="9"/>
      <c r="C678" s="15" t="s">
        <v>179</v>
      </c>
      <c r="D678" s="5">
        <v>0.25</v>
      </c>
      <c r="E678" s="6">
        <f>(E682*D678)</f>
        <v>275</v>
      </c>
      <c r="I678" s="26" t="s">
        <v>103</v>
      </c>
      <c r="J678" s="9"/>
      <c r="K678" s="15" t="s">
        <v>124</v>
      </c>
      <c r="L678" s="5">
        <v>0.25</v>
      </c>
      <c r="M678" s="6">
        <f t="shared" si="45"/>
        <v>275</v>
      </c>
    </row>
    <row r="679" spans="1:13" x14ac:dyDescent="0.25">
      <c r="A679" s="26" t="s">
        <v>131</v>
      </c>
      <c r="B679" s="9"/>
      <c r="C679" s="15" t="s">
        <v>130</v>
      </c>
      <c r="D679" s="5">
        <v>0.03</v>
      </c>
      <c r="E679" s="6">
        <f>(E682*D679)</f>
        <v>33</v>
      </c>
      <c r="I679" s="26" t="s">
        <v>131</v>
      </c>
      <c r="J679" s="9"/>
      <c r="K679" s="15" t="s">
        <v>130</v>
      </c>
      <c r="L679" s="5">
        <v>0.03</v>
      </c>
      <c r="M679" s="6">
        <f t="shared" si="45"/>
        <v>33</v>
      </c>
    </row>
    <row r="680" spans="1:13" x14ac:dyDescent="0.25">
      <c r="A680" s="16" t="s">
        <v>104</v>
      </c>
      <c r="B680" s="9"/>
      <c r="C680" s="15" t="s">
        <v>110</v>
      </c>
      <c r="D680" s="5">
        <v>0.253</v>
      </c>
      <c r="E680" s="6">
        <f>(E682*D680)</f>
        <v>278.3</v>
      </c>
      <c r="I680" s="16" t="s">
        <v>104</v>
      </c>
      <c r="J680" s="9"/>
      <c r="K680" s="15" t="s">
        <v>110</v>
      </c>
      <c r="L680" s="5">
        <v>0.253</v>
      </c>
      <c r="M680" s="6">
        <f t="shared" si="45"/>
        <v>278.3</v>
      </c>
    </row>
    <row r="681" spans="1:13" x14ac:dyDescent="0.25">
      <c r="A681" s="16" t="s">
        <v>105</v>
      </c>
      <c r="B681" s="9"/>
      <c r="C681" s="15" t="s">
        <v>20</v>
      </c>
      <c r="D681" s="5">
        <v>1E-3</v>
      </c>
      <c r="E681" s="6">
        <f>(E682*D681)</f>
        <v>1.1000000000000001</v>
      </c>
      <c r="I681" s="16" t="s">
        <v>105</v>
      </c>
      <c r="J681" s="9"/>
      <c r="K681" s="15" t="s">
        <v>20</v>
      </c>
      <c r="L681" s="5">
        <v>1E-3</v>
      </c>
      <c r="M681" s="6">
        <f t="shared" si="45"/>
        <v>1.1000000000000001</v>
      </c>
    </row>
    <row r="682" spans="1:13" x14ac:dyDescent="0.25">
      <c r="A682" s="2"/>
      <c r="B682" s="12"/>
      <c r="C682" s="2"/>
      <c r="D682" s="23">
        <f>SUM(D668:D681)</f>
        <v>1</v>
      </c>
      <c r="E682" s="19">
        <v>1100</v>
      </c>
      <c r="I682" s="2"/>
      <c r="J682" s="12"/>
      <c r="K682" s="2"/>
      <c r="L682" s="23">
        <f>SUM(L668:L681)</f>
        <v>1</v>
      </c>
      <c r="M682" s="19">
        <v>1100</v>
      </c>
    </row>
    <row r="683" spans="1:13" x14ac:dyDescent="0.25">
      <c r="E683" s="24">
        <f>SUM(E668:E681)</f>
        <v>1100</v>
      </c>
      <c r="M683" s="24">
        <f>SUM(M668:M681)</f>
        <v>1100</v>
      </c>
    </row>
    <row r="690" spans="1:13" x14ac:dyDescent="0.25">
      <c r="A690" s="54" t="s">
        <v>180</v>
      </c>
      <c r="B690" s="54"/>
      <c r="C690" s="54"/>
      <c r="D690" s="54"/>
      <c r="E690" s="54"/>
      <c r="I690" s="54" t="s">
        <v>181</v>
      </c>
      <c r="J690" s="54"/>
      <c r="K690" s="54"/>
      <c r="L690" s="54"/>
      <c r="M690" s="54"/>
    </row>
    <row r="691" spans="1:13" x14ac:dyDescent="0.25">
      <c r="A691" s="59" t="s">
        <v>182</v>
      </c>
      <c r="B691" s="59"/>
      <c r="C691" s="59"/>
      <c r="D691" s="59"/>
      <c r="E691" s="59"/>
      <c r="I691" s="59" t="s">
        <v>183</v>
      </c>
      <c r="J691" s="59"/>
      <c r="K691" s="59"/>
      <c r="L691" s="59"/>
      <c r="M691" s="59"/>
    </row>
    <row r="692" spans="1:13" x14ac:dyDescent="0.25">
      <c r="A692" s="3" t="s">
        <v>3</v>
      </c>
      <c r="B692" s="3" t="s">
        <v>97</v>
      </c>
      <c r="D692" s="3" t="s">
        <v>5</v>
      </c>
      <c r="E692" s="3" t="s">
        <v>7</v>
      </c>
      <c r="I692" s="3" t="s">
        <v>3</v>
      </c>
      <c r="J692" s="3" t="s">
        <v>97</v>
      </c>
      <c r="L692" s="3" t="s">
        <v>5</v>
      </c>
      <c r="M692" s="3" t="s">
        <v>7</v>
      </c>
    </row>
    <row r="693" spans="1:13" x14ac:dyDescent="0.25">
      <c r="A693" s="60" t="s">
        <v>98</v>
      </c>
      <c r="B693" s="4"/>
      <c r="C693" s="3" t="s">
        <v>10</v>
      </c>
      <c r="D693" s="5">
        <v>0.16159999999999999</v>
      </c>
      <c r="E693" s="6">
        <f>(E707*D693)</f>
        <v>177.76</v>
      </c>
      <c r="I693" s="60" t="s">
        <v>98</v>
      </c>
      <c r="J693" s="4"/>
      <c r="K693" s="3" t="s">
        <v>10</v>
      </c>
      <c r="L693" s="5">
        <v>0.17510000000000001</v>
      </c>
      <c r="M693" s="6">
        <f>(M707*L693)</f>
        <v>175.1</v>
      </c>
    </row>
    <row r="694" spans="1:13" x14ac:dyDescent="0.25">
      <c r="A694" s="61"/>
      <c r="B694" s="4"/>
      <c r="C694" s="3" t="s">
        <v>13</v>
      </c>
      <c r="D694" s="22">
        <v>2E-3</v>
      </c>
      <c r="E694" s="6">
        <f>(E707*D694)</f>
        <v>2.2000000000000002</v>
      </c>
      <c r="I694" s="61"/>
      <c r="J694" s="4"/>
      <c r="K694" s="3" t="s">
        <v>13</v>
      </c>
      <c r="L694" s="22">
        <v>1.6000000000000001E-3</v>
      </c>
      <c r="M694" s="6">
        <f>(M707*L694)</f>
        <v>1.6</v>
      </c>
    </row>
    <row r="695" spans="1:13" x14ac:dyDescent="0.25">
      <c r="A695" s="61"/>
      <c r="B695" s="4"/>
      <c r="C695" s="3" t="s">
        <v>20</v>
      </c>
      <c r="D695" s="22">
        <v>1E-3</v>
      </c>
      <c r="E695" s="6">
        <f>(E707*D695)</f>
        <v>1.1000000000000001</v>
      </c>
      <c r="I695" s="61"/>
      <c r="J695" s="4"/>
      <c r="K695" s="3" t="s">
        <v>20</v>
      </c>
      <c r="L695" s="22">
        <v>1E-3</v>
      </c>
      <c r="M695" s="6">
        <f>(M707*L695)</f>
        <v>1</v>
      </c>
    </row>
    <row r="696" spans="1:13" x14ac:dyDescent="0.25">
      <c r="A696" s="61"/>
      <c r="B696" s="9"/>
      <c r="C696" s="3" t="s">
        <v>77</v>
      </c>
      <c r="D696" s="5">
        <v>2E-3</v>
      </c>
      <c r="E696" s="6">
        <f>(E707*D696)</f>
        <v>2.2000000000000002</v>
      </c>
      <c r="I696" s="61"/>
      <c r="J696" s="9"/>
      <c r="K696" s="3" t="s">
        <v>77</v>
      </c>
      <c r="L696" s="5">
        <v>2E-3</v>
      </c>
      <c r="M696" s="6">
        <f>(M707*L696)</f>
        <v>2</v>
      </c>
    </row>
    <row r="697" spans="1:13" x14ac:dyDescent="0.25">
      <c r="A697" s="61"/>
      <c r="B697" s="9"/>
      <c r="C697" s="3" t="s">
        <v>51</v>
      </c>
      <c r="D697" s="5">
        <v>1.4E-3</v>
      </c>
      <c r="E697" s="6">
        <f>(E707*D697)</f>
        <v>1.54</v>
      </c>
      <c r="I697" s="61"/>
      <c r="J697" s="9"/>
      <c r="K697" s="3" t="s">
        <v>51</v>
      </c>
      <c r="L697" s="5">
        <v>1.6000000000000001E-3</v>
      </c>
      <c r="M697" s="6">
        <f>(M707*L697)</f>
        <v>1.6</v>
      </c>
    </row>
    <row r="698" spans="1:13" x14ac:dyDescent="0.25">
      <c r="A698" s="61"/>
      <c r="B698" s="9"/>
      <c r="C698" s="3" t="s">
        <v>20</v>
      </c>
      <c r="D698" s="5">
        <v>1E-3</v>
      </c>
      <c r="E698" s="6">
        <f>(E707*D698)</f>
        <v>1.1000000000000001</v>
      </c>
      <c r="I698" s="61"/>
      <c r="J698" s="9"/>
      <c r="K698" s="3" t="s">
        <v>20</v>
      </c>
      <c r="L698" s="5">
        <v>1E-3</v>
      </c>
      <c r="M698" s="6">
        <f>(M707*L698)</f>
        <v>1</v>
      </c>
    </row>
    <row r="699" spans="1:13" x14ac:dyDescent="0.25">
      <c r="A699" s="16" t="s">
        <v>99</v>
      </c>
      <c r="B699" s="9"/>
      <c r="C699" s="3" t="s">
        <v>178</v>
      </c>
      <c r="D699" s="5">
        <v>0.12</v>
      </c>
      <c r="E699" s="6">
        <f>(E707*D699)</f>
        <v>132</v>
      </c>
      <c r="I699" s="16" t="s">
        <v>99</v>
      </c>
      <c r="J699" s="9"/>
      <c r="K699" s="3" t="s">
        <v>24</v>
      </c>
      <c r="L699" s="5">
        <v>0.12</v>
      </c>
      <c r="M699" s="6">
        <f>(M707*L699)</f>
        <v>120</v>
      </c>
    </row>
    <row r="700" spans="1:13" x14ac:dyDescent="0.25">
      <c r="A700" s="16" t="s">
        <v>100</v>
      </c>
      <c r="B700" s="9"/>
      <c r="C700" s="3" t="s">
        <v>28</v>
      </c>
      <c r="D700" s="5">
        <v>8.5000000000000006E-2</v>
      </c>
      <c r="E700" s="6">
        <f>(E707*D700)</f>
        <v>93.5</v>
      </c>
      <c r="I700" s="16" t="s">
        <v>100</v>
      </c>
      <c r="J700" s="9"/>
      <c r="K700" s="3" t="s">
        <v>28</v>
      </c>
      <c r="L700" s="5">
        <v>0.09</v>
      </c>
      <c r="M700" s="6">
        <f>(M707*L700)</f>
        <v>90</v>
      </c>
    </row>
    <row r="701" spans="1:13" x14ac:dyDescent="0.25">
      <c r="A701" s="16" t="s">
        <v>101</v>
      </c>
      <c r="B701" s="9"/>
      <c r="C701" s="3" t="s">
        <v>30</v>
      </c>
      <c r="D701" s="5">
        <v>8.5000000000000006E-2</v>
      </c>
      <c r="E701" s="6">
        <f>(E707*D701)</f>
        <v>93.5</v>
      </c>
      <c r="I701" s="16" t="s">
        <v>101</v>
      </c>
      <c r="J701" s="9"/>
      <c r="K701" s="3" t="s">
        <v>30</v>
      </c>
      <c r="L701" s="5">
        <v>0.09</v>
      </c>
      <c r="M701" s="6">
        <f>(M707*L701)</f>
        <v>90</v>
      </c>
    </row>
    <row r="702" spans="1:13" x14ac:dyDescent="0.25">
      <c r="A702" s="16" t="s">
        <v>102</v>
      </c>
      <c r="B702" s="9"/>
      <c r="C702" s="15" t="s">
        <v>70</v>
      </c>
      <c r="D702" s="5">
        <v>7.0000000000000001E-3</v>
      </c>
      <c r="E702" s="6">
        <f>(E707*D702)</f>
        <v>7.7</v>
      </c>
      <c r="I702" s="16" t="s">
        <v>102</v>
      </c>
      <c r="J702" s="9"/>
      <c r="K702" s="15" t="s">
        <v>70</v>
      </c>
      <c r="L702" s="5">
        <v>1.17E-2</v>
      </c>
      <c r="M702" s="6">
        <f>(M707*L702)</f>
        <v>11.700000000000001</v>
      </c>
    </row>
    <row r="703" spans="1:13" ht="27.6" x14ac:dyDescent="0.25">
      <c r="A703" s="26" t="s">
        <v>103</v>
      </c>
      <c r="B703" s="9"/>
      <c r="C703" s="15" t="s">
        <v>179</v>
      </c>
      <c r="D703" s="5">
        <v>0.25</v>
      </c>
      <c r="E703" s="6">
        <f>(E707*D703)</f>
        <v>275</v>
      </c>
      <c r="I703" s="26" t="s">
        <v>103</v>
      </c>
      <c r="J703" s="9"/>
      <c r="K703" s="15" t="s">
        <v>179</v>
      </c>
      <c r="L703" s="5">
        <v>0.25</v>
      </c>
      <c r="M703" s="6">
        <f>(M707*L703)</f>
        <v>250</v>
      </c>
    </row>
    <row r="704" spans="1:13" x14ac:dyDescent="0.25">
      <c r="A704" s="26" t="s">
        <v>131</v>
      </c>
      <c r="B704" s="9"/>
      <c r="C704" s="15" t="s">
        <v>130</v>
      </c>
      <c r="D704" s="5">
        <v>0.03</v>
      </c>
      <c r="E704" s="6">
        <f>(E707*D704)</f>
        <v>33</v>
      </c>
      <c r="I704" s="26" t="s">
        <v>131</v>
      </c>
      <c r="J704" s="9"/>
      <c r="K704" s="15" t="s">
        <v>130</v>
      </c>
      <c r="L704" s="5">
        <v>0.03</v>
      </c>
      <c r="M704" s="6">
        <f>(M707*L704)</f>
        <v>30</v>
      </c>
    </row>
    <row r="705" spans="1:13" x14ac:dyDescent="0.25">
      <c r="A705" s="16" t="s">
        <v>104</v>
      </c>
      <c r="B705" s="9"/>
      <c r="C705" s="15" t="s">
        <v>110</v>
      </c>
      <c r="D705" s="5">
        <v>0.253</v>
      </c>
      <c r="E705" s="6">
        <f>(E707*D705)</f>
        <v>278.3</v>
      </c>
      <c r="I705" s="16" t="s">
        <v>104</v>
      </c>
      <c r="J705" s="9"/>
      <c r="K705" s="15" t="s">
        <v>117</v>
      </c>
      <c r="L705" s="5">
        <v>0.22500000000000001</v>
      </c>
      <c r="M705" s="6">
        <f>(M707*L705)</f>
        <v>225</v>
      </c>
    </row>
    <row r="706" spans="1:13" x14ac:dyDescent="0.25">
      <c r="A706" s="16" t="s">
        <v>105</v>
      </c>
      <c r="B706" s="9"/>
      <c r="C706" s="15" t="s">
        <v>20</v>
      </c>
      <c r="D706" s="5">
        <v>1E-3</v>
      </c>
      <c r="E706" s="6">
        <f>(E707*D706)</f>
        <v>1.1000000000000001</v>
      </c>
      <c r="I706" s="16" t="s">
        <v>105</v>
      </c>
      <c r="J706" s="9"/>
      <c r="K706" s="15" t="s">
        <v>20</v>
      </c>
      <c r="L706" s="5">
        <v>1E-3</v>
      </c>
      <c r="M706" s="6">
        <f>(M707*L706)</f>
        <v>1</v>
      </c>
    </row>
    <row r="707" spans="1:13" x14ac:dyDescent="0.25">
      <c r="A707" s="2"/>
      <c r="B707" s="12"/>
      <c r="C707" s="2"/>
      <c r="D707" s="23">
        <f>SUM(D693:D706)</f>
        <v>1</v>
      </c>
      <c r="E707" s="19">
        <v>1100</v>
      </c>
      <c r="I707" s="2"/>
      <c r="J707" s="12"/>
      <c r="K707" s="2"/>
      <c r="L707" s="23">
        <f>SUM(L693:L706)</f>
        <v>1</v>
      </c>
      <c r="M707" s="19">
        <v>1000</v>
      </c>
    </row>
    <row r="708" spans="1:13" x14ac:dyDescent="0.25">
      <c r="E708" s="24">
        <f>SUM(E693:E706)</f>
        <v>1100</v>
      </c>
      <c r="M708" s="24">
        <f>SUM(M693:M706)</f>
        <v>1000</v>
      </c>
    </row>
    <row r="711" spans="1:13" x14ac:dyDescent="0.25">
      <c r="A711" s="54" t="s">
        <v>184</v>
      </c>
      <c r="B711" s="54"/>
      <c r="C711" s="54"/>
      <c r="D711" s="54"/>
      <c r="E711" s="54"/>
      <c r="I711" s="54" t="s">
        <v>185</v>
      </c>
      <c r="J711" s="54"/>
      <c r="K711" s="54"/>
      <c r="L711" s="54"/>
      <c r="M711" s="54"/>
    </row>
    <row r="712" spans="1:13" x14ac:dyDescent="0.25">
      <c r="A712" s="59" t="s">
        <v>186</v>
      </c>
      <c r="B712" s="59"/>
      <c r="C712" s="59"/>
      <c r="D712" s="59"/>
      <c r="E712" s="59"/>
      <c r="I712" s="59" t="s">
        <v>187</v>
      </c>
      <c r="J712" s="59"/>
      <c r="K712" s="59"/>
      <c r="L712" s="59"/>
      <c r="M712" s="59"/>
    </row>
    <row r="713" spans="1:13" x14ac:dyDescent="0.25">
      <c r="A713" s="3" t="s">
        <v>3</v>
      </c>
      <c r="B713" s="3" t="s">
        <v>97</v>
      </c>
      <c r="D713" s="3" t="s">
        <v>5</v>
      </c>
      <c r="E713" s="3" t="s">
        <v>7</v>
      </c>
      <c r="I713" s="3" t="s">
        <v>3</v>
      </c>
      <c r="J713" s="3" t="s">
        <v>97</v>
      </c>
      <c r="L713" s="3" t="s">
        <v>5</v>
      </c>
      <c r="M713" s="3" t="s">
        <v>7</v>
      </c>
    </row>
    <row r="714" spans="1:13" x14ac:dyDescent="0.25">
      <c r="A714" s="60" t="s">
        <v>98</v>
      </c>
      <c r="B714" s="4"/>
      <c r="C714" s="3" t="s">
        <v>10</v>
      </c>
      <c r="D714" s="5">
        <v>0.15529999999999999</v>
      </c>
      <c r="E714" s="6">
        <f>(E729*D714)</f>
        <v>155.29999999999998</v>
      </c>
      <c r="I714" s="60" t="s">
        <v>98</v>
      </c>
      <c r="J714" s="4"/>
      <c r="K714" s="3" t="s">
        <v>10</v>
      </c>
      <c r="L714" s="5">
        <v>0.156</v>
      </c>
      <c r="M714" s="6">
        <f>(M729*L714)</f>
        <v>156</v>
      </c>
    </row>
    <row r="715" spans="1:13" x14ac:dyDescent="0.25">
      <c r="A715" s="61"/>
      <c r="B715" s="4"/>
      <c r="C715" s="3" t="s">
        <v>166</v>
      </c>
      <c r="D715" s="5">
        <v>0.02</v>
      </c>
      <c r="E715" s="6">
        <f>(E729*D715)</f>
        <v>20</v>
      </c>
      <c r="I715" s="61"/>
      <c r="J715" s="4"/>
      <c r="K715" s="3" t="s">
        <v>166</v>
      </c>
      <c r="L715" s="5">
        <v>0.02</v>
      </c>
      <c r="M715" s="6">
        <f>(M729*L715)</f>
        <v>20</v>
      </c>
    </row>
    <row r="716" spans="1:13" x14ac:dyDescent="0.25">
      <c r="A716" s="61"/>
      <c r="B716" s="4"/>
      <c r="C716" s="3" t="s">
        <v>13</v>
      </c>
      <c r="D716" s="22">
        <v>1.6000000000000001E-3</v>
      </c>
      <c r="E716" s="6">
        <f>(E729*D716)</f>
        <v>1.6</v>
      </c>
      <c r="I716" s="61"/>
      <c r="J716" s="4"/>
      <c r="K716" s="3" t="s">
        <v>13</v>
      </c>
      <c r="L716" s="22">
        <v>1.6000000000000001E-3</v>
      </c>
      <c r="M716" s="6">
        <f>(M729*L716)</f>
        <v>1.6</v>
      </c>
    </row>
    <row r="717" spans="1:13" x14ac:dyDescent="0.25">
      <c r="A717" s="61"/>
      <c r="B717" s="4"/>
      <c r="C717" s="3" t="s">
        <v>20</v>
      </c>
      <c r="D717" s="22">
        <v>1E-3</v>
      </c>
      <c r="E717" s="6">
        <f>(E729*D717)</f>
        <v>1</v>
      </c>
      <c r="I717" s="61"/>
      <c r="J717" s="4"/>
      <c r="K717" s="3" t="s">
        <v>20</v>
      </c>
      <c r="L717" s="22">
        <v>1E-3</v>
      </c>
      <c r="M717" s="6">
        <f>(M729*L717)</f>
        <v>1</v>
      </c>
    </row>
    <row r="718" spans="1:13" x14ac:dyDescent="0.25">
      <c r="A718" s="61"/>
      <c r="B718" s="9"/>
      <c r="C718" s="3" t="s">
        <v>77</v>
      </c>
      <c r="D718" s="5">
        <v>2E-3</v>
      </c>
      <c r="E718" s="6">
        <f>(E729*D718)</f>
        <v>2</v>
      </c>
      <c r="I718" s="61"/>
      <c r="J718" s="9"/>
      <c r="K718" s="3" t="s">
        <v>77</v>
      </c>
      <c r="L718" s="5">
        <v>2E-3</v>
      </c>
      <c r="M718" s="6">
        <f>(M729*L718)</f>
        <v>2</v>
      </c>
    </row>
    <row r="719" spans="1:13" x14ac:dyDescent="0.25">
      <c r="A719" s="61"/>
      <c r="B719" s="9"/>
      <c r="C719" s="3" t="s">
        <v>51</v>
      </c>
      <c r="D719" s="5">
        <v>1.9E-3</v>
      </c>
      <c r="E719" s="6">
        <f>(E729*D719)</f>
        <v>1.9</v>
      </c>
      <c r="I719" s="61"/>
      <c r="J719" s="9"/>
      <c r="K719" s="3" t="s">
        <v>51</v>
      </c>
      <c r="L719" s="5">
        <v>1.1999999999999999E-3</v>
      </c>
      <c r="M719" s="6">
        <f>(M729*L719)</f>
        <v>1.2</v>
      </c>
    </row>
    <row r="720" spans="1:13" x14ac:dyDescent="0.25">
      <c r="A720" s="61"/>
      <c r="B720" s="9"/>
      <c r="C720" s="3" t="s">
        <v>20</v>
      </c>
      <c r="D720" s="5">
        <v>1E-3</v>
      </c>
      <c r="E720" s="6">
        <f>(E729*D720)</f>
        <v>1</v>
      </c>
      <c r="I720" s="61"/>
      <c r="J720" s="9"/>
      <c r="K720" s="3" t="s">
        <v>20</v>
      </c>
      <c r="L720" s="5">
        <v>1E-3</v>
      </c>
      <c r="M720" s="6">
        <f>(M729*L720)</f>
        <v>1</v>
      </c>
    </row>
    <row r="721" spans="1:13" x14ac:dyDescent="0.25">
      <c r="A721" s="16" t="s">
        <v>99</v>
      </c>
      <c r="B721" s="9"/>
      <c r="C721" s="3" t="s">
        <v>24</v>
      </c>
      <c r="D721" s="5">
        <v>0.12</v>
      </c>
      <c r="E721" s="6">
        <f>(E729*D721)</f>
        <v>120</v>
      </c>
      <c r="I721" s="16" t="s">
        <v>99</v>
      </c>
      <c r="J721" s="9"/>
      <c r="K721" s="3" t="s">
        <v>24</v>
      </c>
      <c r="L721" s="5">
        <v>0.12</v>
      </c>
      <c r="M721" s="6">
        <f>(M729*L721)</f>
        <v>120</v>
      </c>
    </row>
    <row r="722" spans="1:13" x14ac:dyDescent="0.25">
      <c r="A722" s="16" t="s">
        <v>100</v>
      </c>
      <c r="B722" s="9"/>
      <c r="C722" s="3" t="s">
        <v>28</v>
      </c>
      <c r="D722" s="5">
        <v>0.1</v>
      </c>
      <c r="E722" s="6">
        <f>(E729*D722)</f>
        <v>100</v>
      </c>
      <c r="I722" s="16" t="s">
        <v>100</v>
      </c>
      <c r="J722" s="9"/>
      <c r="K722" s="3" t="s">
        <v>28</v>
      </c>
      <c r="L722" s="5">
        <v>0.09</v>
      </c>
      <c r="M722" s="6">
        <f>(M729*L722)</f>
        <v>90</v>
      </c>
    </row>
    <row r="723" spans="1:13" x14ac:dyDescent="0.25">
      <c r="A723" s="16" t="s">
        <v>101</v>
      </c>
      <c r="B723" s="9"/>
      <c r="C723" s="3" t="s">
        <v>30</v>
      </c>
      <c r="D723" s="5">
        <v>0.1</v>
      </c>
      <c r="E723" s="6">
        <f>(E729*D723)</f>
        <v>100</v>
      </c>
      <c r="I723" s="16" t="s">
        <v>101</v>
      </c>
      <c r="J723" s="9"/>
      <c r="K723" s="3" t="s">
        <v>30</v>
      </c>
      <c r="L723" s="5">
        <v>0.09</v>
      </c>
      <c r="M723" s="6">
        <f>(M729*L723)</f>
        <v>90</v>
      </c>
    </row>
    <row r="724" spans="1:13" x14ac:dyDescent="0.25">
      <c r="A724" s="16" t="s">
        <v>102</v>
      </c>
      <c r="B724" s="9"/>
      <c r="C724" s="15" t="s">
        <v>70</v>
      </c>
      <c r="D724" s="5">
        <v>1.17E-2</v>
      </c>
      <c r="E724" s="6">
        <f>(E729*D724)</f>
        <v>11.700000000000001</v>
      </c>
      <c r="I724" s="16" t="s">
        <v>102</v>
      </c>
      <c r="J724" s="9"/>
      <c r="K724" s="15" t="s">
        <v>70</v>
      </c>
      <c r="L724" s="5">
        <v>1.17E-2</v>
      </c>
      <c r="M724" s="6">
        <f>(M729*L724)</f>
        <v>11.700000000000001</v>
      </c>
    </row>
    <row r="725" spans="1:13" ht="27.6" x14ac:dyDescent="0.25">
      <c r="A725" s="26" t="s">
        <v>103</v>
      </c>
      <c r="B725" s="9"/>
      <c r="C725" s="15" t="s">
        <v>32</v>
      </c>
      <c r="D725" s="5">
        <v>0.24</v>
      </c>
      <c r="E725" s="6">
        <f>(E729*D725)</f>
        <v>240</v>
      </c>
      <c r="I725" s="26" t="s">
        <v>103</v>
      </c>
      <c r="J725" s="9"/>
      <c r="K725" s="15" t="s">
        <v>188</v>
      </c>
      <c r="L725" s="5">
        <v>0.25</v>
      </c>
      <c r="M725" s="6">
        <f>(M729*L725)</f>
        <v>250</v>
      </c>
    </row>
    <row r="726" spans="1:13" x14ac:dyDescent="0.25">
      <c r="A726" s="26" t="s">
        <v>131</v>
      </c>
      <c r="B726" s="9"/>
      <c r="C726" s="15" t="s">
        <v>130</v>
      </c>
      <c r="D726" s="5">
        <v>0.03</v>
      </c>
      <c r="E726" s="6">
        <f>(E729*D726)</f>
        <v>30</v>
      </c>
      <c r="I726" s="26" t="s">
        <v>131</v>
      </c>
      <c r="J726" s="9"/>
      <c r="K726" s="15" t="s">
        <v>130</v>
      </c>
      <c r="L726" s="5">
        <v>0.03</v>
      </c>
      <c r="M726" s="6">
        <f>(M729*L726)</f>
        <v>30</v>
      </c>
    </row>
    <row r="727" spans="1:13" x14ac:dyDescent="0.25">
      <c r="A727" s="62" t="s">
        <v>133</v>
      </c>
      <c r="B727" s="9"/>
      <c r="C727" s="15" t="s">
        <v>110</v>
      </c>
      <c r="D727" s="5">
        <v>0.215</v>
      </c>
      <c r="E727" s="6">
        <f>(E729*D727)</f>
        <v>215</v>
      </c>
      <c r="I727" s="62" t="s">
        <v>133</v>
      </c>
      <c r="J727" s="9"/>
      <c r="K727" s="15" t="s">
        <v>110</v>
      </c>
      <c r="L727" s="5">
        <v>0.22500000000000001</v>
      </c>
      <c r="M727" s="6">
        <f>(M729*L727)</f>
        <v>225</v>
      </c>
    </row>
    <row r="728" spans="1:13" x14ac:dyDescent="0.25">
      <c r="A728" s="63"/>
      <c r="B728" s="9"/>
      <c r="C728" s="15" t="s">
        <v>20</v>
      </c>
      <c r="D728" s="5">
        <v>5.0000000000000001E-4</v>
      </c>
      <c r="E728" s="6">
        <f>(E729*D728)</f>
        <v>0.5</v>
      </c>
      <c r="I728" s="63"/>
      <c r="J728" s="9"/>
      <c r="K728" s="15" t="s">
        <v>20</v>
      </c>
      <c r="L728" s="5">
        <v>5.0000000000000001E-4</v>
      </c>
      <c r="M728" s="6">
        <f>(M729*L728)</f>
        <v>0.5</v>
      </c>
    </row>
    <row r="729" spans="1:13" x14ac:dyDescent="0.25">
      <c r="A729" s="2"/>
      <c r="B729" s="12"/>
      <c r="C729" s="2"/>
      <c r="D729" s="23">
        <f>SUM(D714:D728)</f>
        <v>0.99999999999999989</v>
      </c>
      <c r="E729" s="19">
        <v>1000</v>
      </c>
      <c r="I729" s="2"/>
      <c r="J729" s="12"/>
      <c r="K729" s="2"/>
      <c r="L729" s="23">
        <f>SUM(L714:L728)</f>
        <v>0.99999999999999989</v>
      </c>
      <c r="M729" s="19">
        <v>1000</v>
      </c>
    </row>
    <row r="730" spans="1:13" x14ac:dyDescent="0.25">
      <c r="E730" s="24">
        <f>SUM(E714:E728)</f>
        <v>1000</v>
      </c>
      <c r="M730" s="24">
        <f>SUM(M714:M728)</f>
        <v>1000</v>
      </c>
    </row>
    <row r="735" spans="1:13" x14ac:dyDescent="0.25">
      <c r="A735" s="54" t="s">
        <v>189</v>
      </c>
      <c r="B735" s="54"/>
      <c r="C735" s="54"/>
      <c r="D735" s="54"/>
      <c r="E735" s="54"/>
      <c r="I735" s="54" t="s">
        <v>190</v>
      </c>
      <c r="J735" s="54"/>
      <c r="K735" s="54"/>
      <c r="L735" s="54"/>
      <c r="M735" s="54"/>
    </row>
    <row r="736" spans="1:13" x14ac:dyDescent="0.25">
      <c r="A736" s="59" t="s">
        <v>191</v>
      </c>
      <c r="B736" s="59"/>
      <c r="C736" s="59"/>
      <c r="D736" s="59"/>
      <c r="E736" s="59"/>
      <c r="I736" s="59" t="s">
        <v>192</v>
      </c>
      <c r="J736" s="59"/>
      <c r="K736" s="59"/>
      <c r="L736" s="59"/>
      <c r="M736" s="59"/>
    </row>
    <row r="737" spans="1:13" x14ac:dyDescent="0.25">
      <c r="A737" s="3" t="s">
        <v>3</v>
      </c>
      <c r="B737" s="3" t="s">
        <v>97</v>
      </c>
      <c r="D737" s="3" t="s">
        <v>5</v>
      </c>
      <c r="E737" s="3" t="s">
        <v>7</v>
      </c>
      <c r="I737" s="3" t="s">
        <v>3</v>
      </c>
      <c r="J737" s="3" t="s">
        <v>97</v>
      </c>
      <c r="L737" s="3" t="s">
        <v>5</v>
      </c>
      <c r="M737" s="3" t="s">
        <v>7</v>
      </c>
    </row>
    <row r="738" spans="1:13" x14ac:dyDescent="0.25">
      <c r="A738" s="60" t="s">
        <v>98</v>
      </c>
      <c r="B738" s="4"/>
      <c r="C738" s="3" t="s">
        <v>10</v>
      </c>
      <c r="D738" s="5">
        <v>0.1749</v>
      </c>
      <c r="E738" s="6">
        <f>(E752*D738)</f>
        <v>174.9</v>
      </c>
      <c r="I738" s="60" t="s">
        <v>98</v>
      </c>
      <c r="J738" s="4"/>
      <c r="K738" s="3" t="s">
        <v>10</v>
      </c>
      <c r="L738" s="5">
        <v>0.156</v>
      </c>
      <c r="M738" s="6">
        <f>(M753*L738)</f>
        <v>156</v>
      </c>
    </row>
    <row r="739" spans="1:13" x14ac:dyDescent="0.25">
      <c r="A739" s="61"/>
      <c r="B739" s="4"/>
      <c r="C739" s="3" t="s">
        <v>13</v>
      </c>
      <c r="D739" s="22">
        <v>1.6000000000000001E-3</v>
      </c>
      <c r="E739" s="6">
        <f>(E752*D739)</f>
        <v>1.6</v>
      </c>
      <c r="I739" s="61"/>
      <c r="J739" s="4"/>
      <c r="K739" s="3" t="s">
        <v>166</v>
      </c>
      <c r="L739" s="5">
        <v>0.02</v>
      </c>
      <c r="M739" s="6">
        <f>(M753*L739)</f>
        <v>20</v>
      </c>
    </row>
    <row r="740" spans="1:13" x14ac:dyDescent="0.25">
      <c r="A740" s="61"/>
      <c r="B740" s="4"/>
      <c r="C740" s="3" t="s">
        <v>20</v>
      </c>
      <c r="D740" s="22">
        <v>1E-3</v>
      </c>
      <c r="E740" s="6">
        <f>(E752*D740)</f>
        <v>1</v>
      </c>
      <c r="I740" s="61"/>
      <c r="J740" s="4"/>
      <c r="K740" s="3" t="s">
        <v>13</v>
      </c>
      <c r="L740" s="22">
        <v>1.6000000000000001E-3</v>
      </c>
      <c r="M740" s="6">
        <f>(M753*L740)</f>
        <v>1.6</v>
      </c>
    </row>
    <row r="741" spans="1:13" x14ac:dyDescent="0.25">
      <c r="A741" s="61"/>
      <c r="B741" s="9"/>
      <c r="C741" s="3" t="s">
        <v>77</v>
      </c>
      <c r="D741" s="5">
        <v>2E-3</v>
      </c>
      <c r="E741" s="6">
        <f>(E752*D741)</f>
        <v>2</v>
      </c>
      <c r="I741" s="61"/>
      <c r="J741" s="4"/>
      <c r="K741" s="3" t="s">
        <v>20</v>
      </c>
      <c r="L741" s="22">
        <v>1E-3</v>
      </c>
      <c r="M741" s="6">
        <f>(M753*L741)</f>
        <v>1</v>
      </c>
    </row>
    <row r="742" spans="1:13" x14ac:dyDescent="0.25">
      <c r="A742" s="61"/>
      <c r="B742" s="9"/>
      <c r="C742" s="3" t="s">
        <v>51</v>
      </c>
      <c r="D742" s="5">
        <v>1.8E-3</v>
      </c>
      <c r="E742" s="6">
        <f>(E752*D742)</f>
        <v>1.8</v>
      </c>
      <c r="I742" s="61"/>
      <c r="J742" s="9"/>
      <c r="K742" s="3" t="s">
        <v>77</v>
      </c>
      <c r="L742" s="5">
        <v>2E-3</v>
      </c>
      <c r="M742" s="6">
        <f>(M753*L742)</f>
        <v>2</v>
      </c>
    </row>
    <row r="743" spans="1:13" x14ac:dyDescent="0.25">
      <c r="A743" s="61"/>
      <c r="B743" s="9"/>
      <c r="C743" s="3" t="s">
        <v>20</v>
      </c>
      <c r="D743" s="5">
        <v>1E-3</v>
      </c>
      <c r="E743" s="6">
        <f>(E752*D743)</f>
        <v>1</v>
      </c>
      <c r="I743" s="61"/>
      <c r="J743" s="9"/>
      <c r="K743" s="3" t="s">
        <v>51</v>
      </c>
      <c r="L743" s="5">
        <v>1.1999999999999999E-3</v>
      </c>
      <c r="M743" s="6">
        <f>(M753*L743)</f>
        <v>1.2</v>
      </c>
    </row>
    <row r="744" spans="1:13" x14ac:dyDescent="0.25">
      <c r="A744" s="16" t="s">
        <v>99</v>
      </c>
      <c r="B744" s="9"/>
      <c r="C744" s="3" t="s">
        <v>24</v>
      </c>
      <c r="D744" s="5">
        <v>0.12</v>
      </c>
      <c r="E744" s="6">
        <f>(E752*D744)</f>
        <v>120</v>
      </c>
      <c r="I744" s="61"/>
      <c r="J744" s="9"/>
      <c r="K744" s="3" t="s">
        <v>20</v>
      </c>
      <c r="L744" s="5">
        <v>1E-3</v>
      </c>
      <c r="M744" s="6">
        <f>(M753*L744)</f>
        <v>1</v>
      </c>
    </row>
    <row r="745" spans="1:13" x14ac:dyDescent="0.25">
      <c r="A745" s="16" t="s">
        <v>100</v>
      </c>
      <c r="B745" s="9"/>
      <c r="C745" s="3" t="s">
        <v>28</v>
      </c>
      <c r="D745" s="5">
        <v>0.09</v>
      </c>
      <c r="E745" s="6">
        <f>(E752*D745)</f>
        <v>90</v>
      </c>
      <c r="I745" s="16" t="s">
        <v>99</v>
      </c>
      <c r="J745" s="9"/>
      <c r="K745" s="3" t="s">
        <v>24</v>
      </c>
      <c r="L745" s="5">
        <v>0.12</v>
      </c>
      <c r="M745" s="6">
        <f>(M753*L745)</f>
        <v>120</v>
      </c>
    </row>
    <row r="746" spans="1:13" x14ac:dyDescent="0.25">
      <c r="A746" s="16" t="s">
        <v>101</v>
      </c>
      <c r="B746" s="9"/>
      <c r="C746" s="3" t="s">
        <v>30</v>
      </c>
      <c r="D746" s="5">
        <v>0.09</v>
      </c>
      <c r="E746" s="6">
        <f>(E752*D746)</f>
        <v>90</v>
      </c>
      <c r="I746" s="16" t="s">
        <v>100</v>
      </c>
      <c r="J746" s="9"/>
      <c r="K746" s="3" t="s">
        <v>28</v>
      </c>
      <c r="L746" s="5">
        <v>0.09</v>
      </c>
      <c r="M746" s="6">
        <f>(M753*L746)</f>
        <v>90</v>
      </c>
    </row>
    <row r="747" spans="1:13" x14ac:dyDescent="0.25">
      <c r="A747" s="16" t="s">
        <v>102</v>
      </c>
      <c r="B747" s="9"/>
      <c r="C747" s="15" t="s">
        <v>70</v>
      </c>
      <c r="D747" s="5">
        <v>1.17E-2</v>
      </c>
      <c r="E747" s="6">
        <f>(E752*D747)</f>
        <v>11.700000000000001</v>
      </c>
      <c r="I747" s="16" t="s">
        <v>101</v>
      </c>
      <c r="J747" s="9"/>
      <c r="K747" s="3" t="s">
        <v>30</v>
      </c>
      <c r="L747" s="5">
        <v>0.09</v>
      </c>
      <c r="M747" s="6">
        <f>(M753*L747)</f>
        <v>90</v>
      </c>
    </row>
    <row r="748" spans="1:13" ht="27.6" x14ac:dyDescent="0.25">
      <c r="A748" s="26" t="s">
        <v>103</v>
      </c>
      <c r="B748" s="9"/>
      <c r="C748" s="15" t="s">
        <v>124</v>
      </c>
      <c r="D748" s="5">
        <v>0.25</v>
      </c>
      <c r="E748" s="6">
        <f>(E752*D748)</f>
        <v>250</v>
      </c>
      <c r="I748" s="16" t="s">
        <v>102</v>
      </c>
      <c r="J748" s="9"/>
      <c r="K748" s="15" t="s">
        <v>70</v>
      </c>
      <c r="L748" s="5">
        <v>1.17E-2</v>
      </c>
      <c r="M748" s="6">
        <f>(M753*L748)</f>
        <v>11.700000000000001</v>
      </c>
    </row>
    <row r="749" spans="1:13" ht="27.6" x14ac:dyDescent="0.25">
      <c r="A749" s="26" t="s">
        <v>131</v>
      </c>
      <c r="B749" s="9"/>
      <c r="C749" s="15" t="s">
        <v>130</v>
      </c>
      <c r="D749" s="5">
        <v>0.03</v>
      </c>
      <c r="E749" s="6">
        <f>(E752*D749)</f>
        <v>30</v>
      </c>
      <c r="I749" s="26" t="s">
        <v>103</v>
      </c>
      <c r="J749" s="9"/>
      <c r="K749" s="15" t="s">
        <v>188</v>
      </c>
      <c r="L749" s="5">
        <v>0.25</v>
      </c>
      <c r="M749" s="6">
        <f>(M753*L749)</f>
        <v>250</v>
      </c>
    </row>
    <row r="750" spans="1:13" x14ac:dyDescent="0.25">
      <c r="A750" s="16" t="s">
        <v>104</v>
      </c>
      <c r="B750" s="9"/>
      <c r="C750" s="15" t="s">
        <v>153</v>
      </c>
      <c r="D750" s="5">
        <v>0.22500000000000001</v>
      </c>
      <c r="E750" s="6">
        <f>(E752*D750)</f>
        <v>225</v>
      </c>
      <c r="I750" s="26" t="s">
        <v>131</v>
      </c>
      <c r="J750" s="9"/>
      <c r="K750" s="15" t="s">
        <v>130</v>
      </c>
      <c r="L750" s="5">
        <v>0.03</v>
      </c>
      <c r="M750" s="6">
        <f>(M753*L750)</f>
        <v>30</v>
      </c>
    </row>
    <row r="751" spans="1:13" x14ac:dyDescent="0.25">
      <c r="A751" s="16" t="s">
        <v>105</v>
      </c>
      <c r="B751" s="9"/>
      <c r="C751" s="15" t="s">
        <v>20</v>
      </c>
      <c r="D751" s="5">
        <v>1E-3</v>
      </c>
      <c r="E751" s="6">
        <f>(E752*D751)</f>
        <v>1</v>
      </c>
      <c r="I751" s="62" t="s">
        <v>133</v>
      </c>
      <c r="J751" s="9"/>
      <c r="K751" s="15" t="s">
        <v>153</v>
      </c>
      <c r="L751" s="5">
        <v>0.22500000000000001</v>
      </c>
      <c r="M751" s="6">
        <f>(M753*L751)</f>
        <v>225</v>
      </c>
    </row>
    <row r="752" spans="1:13" x14ac:dyDescent="0.25">
      <c r="A752" s="2"/>
      <c r="B752" s="12"/>
      <c r="C752" s="2"/>
      <c r="D752" s="23">
        <f>SUM(D738:D751)</f>
        <v>1</v>
      </c>
      <c r="E752" s="19">
        <v>1000</v>
      </c>
      <c r="I752" s="63"/>
      <c r="J752" s="9"/>
      <c r="K752" s="15" t="s">
        <v>20</v>
      </c>
      <c r="L752" s="5">
        <v>5.0000000000000001E-4</v>
      </c>
      <c r="M752" s="6">
        <f>(M753*L752)</f>
        <v>0.5</v>
      </c>
    </row>
    <row r="753" spans="1:13" x14ac:dyDescent="0.25">
      <c r="E753" s="24">
        <f>SUM(E738:E751)</f>
        <v>1000</v>
      </c>
      <c r="I753" s="2"/>
      <c r="J753" s="12"/>
      <c r="K753" s="2"/>
      <c r="L753" s="23">
        <f>SUM(L738:L752)</f>
        <v>0.99999999999999989</v>
      </c>
      <c r="M753" s="19">
        <v>1000</v>
      </c>
    </row>
    <row r="754" spans="1:13" x14ac:dyDescent="0.25">
      <c r="M754" s="24">
        <f>SUM(M738:M752)</f>
        <v>1000</v>
      </c>
    </row>
    <row r="759" spans="1:13" x14ac:dyDescent="0.25">
      <c r="A759" s="54" t="s">
        <v>193</v>
      </c>
      <c r="B759" s="54"/>
      <c r="C759" s="54"/>
      <c r="D759" s="54"/>
      <c r="E759" s="54"/>
      <c r="I759" s="54" t="s">
        <v>194</v>
      </c>
      <c r="J759" s="54"/>
      <c r="K759" s="54"/>
      <c r="L759" s="54"/>
      <c r="M759" s="54"/>
    </row>
    <row r="760" spans="1:13" x14ac:dyDescent="0.25">
      <c r="A760" s="59" t="s">
        <v>195</v>
      </c>
      <c r="B760" s="59"/>
      <c r="C760" s="59"/>
      <c r="D760" s="59"/>
      <c r="E760" s="59"/>
      <c r="I760" s="59" t="s">
        <v>196</v>
      </c>
      <c r="J760" s="59"/>
      <c r="K760" s="59"/>
      <c r="L760" s="59"/>
      <c r="M760" s="59"/>
    </row>
    <row r="761" spans="1:13" x14ac:dyDescent="0.25">
      <c r="A761" s="3" t="s">
        <v>3</v>
      </c>
      <c r="B761" s="3" t="s">
        <v>97</v>
      </c>
      <c r="D761" s="3" t="s">
        <v>5</v>
      </c>
      <c r="E761" s="3" t="s">
        <v>7</v>
      </c>
      <c r="I761" s="3" t="s">
        <v>3</v>
      </c>
      <c r="J761" s="3" t="s">
        <v>97</v>
      </c>
      <c r="L761" s="3" t="s">
        <v>5</v>
      </c>
      <c r="M761" s="3" t="s">
        <v>7</v>
      </c>
    </row>
    <row r="762" spans="1:13" x14ac:dyDescent="0.25">
      <c r="A762" s="60" t="s">
        <v>98</v>
      </c>
      <c r="B762" s="4"/>
      <c r="C762" s="3" t="s">
        <v>10</v>
      </c>
      <c r="D762" s="5">
        <v>0.17510000000000001</v>
      </c>
      <c r="E762" s="6">
        <f>(E776*D762)</f>
        <v>175.1</v>
      </c>
      <c r="I762" s="60" t="s">
        <v>98</v>
      </c>
      <c r="J762" s="4"/>
      <c r="K762" s="3" t="s">
        <v>10</v>
      </c>
      <c r="L762" s="5">
        <v>0.17510000000000001</v>
      </c>
      <c r="M762" s="6">
        <f>(M776*L762)</f>
        <v>175.1</v>
      </c>
    </row>
    <row r="763" spans="1:13" x14ac:dyDescent="0.25">
      <c r="A763" s="61"/>
      <c r="B763" s="4"/>
      <c r="C763" s="3" t="s">
        <v>13</v>
      </c>
      <c r="D763" s="22">
        <v>1.6000000000000001E-3</v>
      </c>
      <c r="E763" s="6">
        <f>(E776*D763)</f>
        <v>1.6</v>
      </c>
      <c r="I763" s="61"/>
      <c r="J763" s="4"/>
      <c r="K763" s="3" t="s">
        <v>13</v>
      </c>
      <c r="L763" s="22">
        <v>1.6000000000000001E-3</v>
      </c>
      <c r="M763" s="6">
        <f>(M776*L763)</f>
        <v>1.6</v>
      </c>
    </row>
    <row r="764" spans="1:13" x14ac:dyDescent="0.25">
      <c r="A764" s="61"/>
      <c r="B764" s="4"/>
      <c r="C764" s="3" t="s">
        <v>20</v>
      </c>
      <c r="D764" s="22">
        <v>1E-3</v>
      </c>
      <c r="E764" s="6">
        <f>(E776*D764)</f>
        <v>1</v>
      </c>
      <c r="I764" s="61"/>
      <c r="J764" s="4"/>
      <c r="K764" s="3" t="s">
        <v>20</v>
      </c>
      <c r="L764" s="22">
        <v>1E-3</v>
      </c>
      <c r="M764" s="6">
        <f>(M776*L764)</f>
        <v>1</v>
      </c>
    </row>
    <row r="765" spans="1:13" x14ac:dyDescent="0.25">
      <c r="A765" s="61"/>
      <c r="B765" s="9"/>
      <c r="C765" s="3" t="s">
        <v>77</v>
      </c>
      <c r="D765" s="5">
        <v>2E-3</v>
      </c>
      <c r="E765" s="6">
        <f>(E776*D765)</f>
        <v>2</v>
      </c>
      <c r="I765" s="61"/>
      <c r="J765" s="9"/>
      <c r="K765" s="3" t="s">
        <v>77</v>
      </c>
      <c r="L765" s="5">
        <v>2E-3</v>
      </c>
      <c r="M765" s="6">
        <f>(M776*L765)</f>
        <v>2</v>
      </c>
    </row>
    <row r="766" spans="1:13" x14ac:dyDescent="0.25">
      <c r="A766" s="61"/>
      <c r="B766" s="9"/>
      <c r="C766" s="3" t="s">
        <v>51</v>
      </c>
      <c r="D766" s="5">
        <v>1.6000000000000001E-3</v>
      </c>
      <c r="E766" s="6">
        <f>(E776*D766)</f>
        <v>1.6</v>
      </c>
      <c r="I766" s="61"/>
      <c r="J766" s="9"/>
      <c r="K766" s="3" t="s">
        <v>51</v>
      </c>
      <c r="L766" s="5">
        <v>1.6000000000000001E-3</v>
      </c>
      <c r="M766" s="6">
        <f>(M776*L766)</f>
        <v>1.6</v>
      </c>
    </row>
    <row r="767" spans="1:13" x14ac:dyDescent="0.25">
      <c r="A767" s="61"/>
      <c r="B767" s="9"/>
      <c r="C767" s="3" t="s">
        <v>20</v>
      </c>
      <c r="D767" s="5">
        <v>1E-3</v>
      </c>
      <c r="E767" s="6">
        <f>(E776*D767)</f>
        <v>1</v>
      </c>
      <c r="I767" s="61"/>
      <c r="J767" s="9"/>
      <c r="K767" s="3" t="s">
        <v>20</v>
      </c>
      <c r="L767" s="5">
        <v>1E-3</v>
      </c>
      <c r="M767" s="6">
        <f>(M776*L767)</f>
        <v>1</v>
      </c>
    </row>
    <row r="768" spans="1:13" x14ac:dyDescent="0.25">
      <c r="A768" s="16" t="s">
        <v>99</v>
      </c>
      <c r="B768" s="9"/>
      <c r="C768" s="3" t="s">
        <v>178</v>
      </c>
      <c r="D768" s="5">
        <v>0.12</v>
      </c>
      <c r="E768" s="6">
        <f>(E776*D768)</f>
        <v>120</v>
      </c>
      <c r="I768" s="16" t="s">
        <v>99</v>
      </c>
      <c r="J768" s="9"/>
      <c r="K768" s="3" t="s">
        <v>24</v>
      </c>
      <c r="L768" s="5">
        <v>0.12</v>
      </c>
      <c r="M768" s="6">
        <f>(M776*L768)</f>
        <v>120</v>
      </c>
    </row>
    <row r="769" spans="1:13" x14ac:dyDescent="0.25">
      <c r="A769" s="16" t="s">
        <v>100</v>
      </c>
      <c r="B769" s="9"/>
      <c r="C769" s="3" t="s">
        <v>28</v>
      </c>
      <c r="D769" s="5">
        <v>0.09</v>
      </c>
      <c r="E769" s="6">
        <f>(E776*D769)</f>
        <v>90</v>
      </c>
      <c r="I769" s="16" t="s">
        <v>100</v>
      </c>
      <c r="J769" s="9"/>
      <c r="K769" s="3" t="s">
        <v>28</v>
      </c>
      <c r="L769" s="5">
        <v>0.09</v>
      </c>
      <c r="M769" s="6">
        <f>(M776*L769)</f>
        <v>90</v>
      </c>
    </row>
    <row r="770" spans="1:13" x14ac:dyDescent="0.25">
      <c r="A770" s="16" t="s">
        <v>101</v>
      </c>
      <c r="B770" s="9"/>
      <c r="C770" s="3" t="s">
        <v>30</v>
      </c>
      <c r="D770" s="5">
        <v>8.5000000000000006E-2</v>
      </c>
      <c r="E770" s="6">
        <f>(E776*D770)</f>
        <v>85</v>
      </c>
      <c r="I770" s="16" t="s">
        <v>101</v>
      </c>
      <c r="J770" s="9"/>
      <c r="K770" s="3" t="s">
        <v>30</v>
      </c>
      <c r="L770" s="5">
        <v>8.5000000000000006E-2</v>
      </c>
      <c r="M770" s="6">
        <f>(M776*L770)</f>
        <v>85</v>
      </c>
    </row>
    <row r="771" spans="1:13" x14ac:dyDescent="0.25">
      <c r="A771" s="16" t="s">
        <v>102</v>
      </c>
      <c r="B771" s="9"/>
      <c r="C771" s="15" t="s">
        <v>70</v>
      </c>
      <c r="D771" s="5">
        <v>1.17E-2</v>
      </c>
      <c r="E771" s="6">
        <f>(E776*D771)</f>
        <v>11.700000000000001</v>
      </c>
      <c r="I771" s="16" t="s">
        <v>102</v>
      </c>
      <c r="J771" s="9"/>
      <c r="K771" s="15" t="s">
        <v>70</v>
      </c>
      <c r="L771" s="5">
        <v>1.17E-2</v>
      </c>
      <c r="M771" s="6">
        <f>(M776*L771)</f>
        <v>11.700000000000001</v>
      </c>
    </row>
    <row r="772" spans="1:13" ht="27.6" x14ac:dyDescent="0.25">
      <c r="A772" s="26" t="s">
        <v>103</v>
      </c>
      <c r="B772" s="9"/>
      <c r="C772" s="15" t="s">
        <v>179</v>
      </c>
      <c r="D772" s="5">
        <v>0.255</v>
      </c>
      <c r="E772" s="6">
        <f>(E776*D772)</f>
        <v>255</v>
      </c>
      <c r="I772" s="26" t="s">
        <v>103</v>
      </c>
      <c r="J772" s="9"/>
      <c r="K772" s="15" t="s">
        <v>179</v>
      </c>
      <c r="L772" s="5">
        <v>0.255</v>
      </c>
      <c r="M772" s="6">
        <f>(M776*L772)</f>
        <v>255</v>
      </c>
    </row>
    <row r="773" spans="1:13" x14ac:dyDescent="0.25">
      <c r="A773" s="26" t="s">
        <v>131</v>
      </c>
      <c r="B773" s="9"/>
      <c r="C773" s="15" t="s">
        <v>130</v>
      </c>
      <c r="D773" s="5">
        <v>0.03</v>
      </c>
      <c r="E773" s="6">
        <f>(E776*D773)</f>
        <v>30</v>
      </c>
      <c r="I773" s="26" t="s">
        <v>131</v>
      </c>
      <c r="J773" s="9"/>
      <c r="K773" s="15" t="s">
        <v>130</v>
      </c>
      <c r="L773" s="5">
        <v>0.03</v>
      </c>
      <c r="M773" s="6">
        <f>(M776*L773)</f>
        <v>30</v>
      </c>
    </row>
    <row r="774" spans="1:13" x14ac:dyDescent="0.25">
      <c r="A774" s="16" t="s">
        <v>104</v>
      </c>
      <c r="B774" s="9"/>
      <c r="C774" s="15" t="s">
        <v>117</v>
      </c>
      <c r="D774" s="5">
        <v>0.22500000000000001</v>
      </c>
      <c r="E774" s="6">
        <f>(E776*D774)</f>
        <v>225</v>
      </c>
      <c r="I774" s="16" t="s">
        <v>104</v>
      </c>
      <c r="J774" s="9"/>
      <c r="K774" s="15" t="s">
        <v>110</v>
      </c>
      <c r="L774" s="5">
        <v>0.22500000000000001</v>
      </c>
      <c r="M774" s="6">
        <f>(M776*L774)</f>
        <v>225</v>
      </c>
    </row>
    <row r="775" spans="1:13" x14ac:dyDescent="0.25">
      <c r="A775" s="16" t="s">
        <v>105</v>
      </c>
      <c r="B775" s="9"/>
      <c r="C775" s="15" t="s">
        <v>20</v>
      </c>
      <c r="D775" s="5">
        <v>1E-3</v>
      </c>
      <c r="E775" s="6">
        <f>(E776*D775)</f>
        <v>1</v>
      </c>
      <c r="I775" s="16" t="s">
        <v>105</v>
      </c>
      <c r="J775" s="9"/>
      <c r="K775" s="15" t="s">
        <v>20</v>
      </c>
      <c r="L775" s="5">
        <v>1E-3</v>
      </c>
      <c r="M775" s="6">
        <f>(M776*L775)</f>
        <v>1</v>
      </c>
    </row>
    <row r="776" spans="1:13" x14ac:dyDescent="0.25">
      <c r="A776" s="2"/>
      <c r="B776" s="12"/>
      <c r="C776" s="2"/>
      <c r="D776" s="23">
        <f>SUM(D762:D775)</f>
        <v>1</v>
      </c>
      <c r="E776" s="19">
        <v>1000</v>
      </c>
      <c r="I776" s="2"/>
      <c r="J776" s="12"/>
      <c r="K776" s="2"/>
      <c r="L776" s="23">
        <f>SUM(L762:L775)</f>
        <v>1</v>
      </c>
      <c r="M776" s="19">
        <v>1000</v>
      </c>
    </row>
    <row r="777" spans="1:13" x14ac:dyDescent="0.25">
      <c r="E777" s="24">
        <f>SUM(E762:E775)</f>
        <v>1000</v>
      </c>
      <c r="M777" s="24">
        <f>SUM(M762:M775)</f>
        <v>1000</v>
      </c>
    </row>
    <row r="784" spans="1:13" x14ac:dyDescent="0.25">
      <c r="A784" s="54" t="s">
        <v>197</v>
      </c>
      <c r="B784" s="54"/>
      <c r="C784" s="54"/>
      <c r="D784" s="54"/>
      <c r="E784" s="54"/>
      <c r="I784" s="54" t="s">
        <v>198</v>
      </c>
      <c r="J784" s="54"/>
      <c r="K784" s="54"/>
      <c r="L784" s="54"/>
      <c r="M784" s="54"/>
    </row>
    <row r="785" spans="1:13" x14ac:dyDescent="0.25">
      <c r="A785" s="59" t="s">
        <v>199</v>
      </c>
      <c r="B785" s="59"/>
      <c r="C785" s="59"/>
      <c r="D785" s="59"/>
      <c r="E785" s="59"/>
      <c r="I785" s="59" t="s">
        <v>200</v>
      </c>
      <c r="J785" s="59"/>
      <c r="K785" s="59"/>
      <c r="L785" s="59"/>
      <c r="M785" s="59"/>
    </row>
    <row r="786" spans="1:13" x14ac:dyDescent="0.25">
      <c r="A786" s="3" t="s">
        <v>3</v>
      </c>
      <c r="B786" s="3" t="s">
        <v>97</v>
      </c>
      <c r="D786" s="3" t="s">
        <v>5</v>
      </c>
      <c r="E786" s="3" t="s">
        <v>7</v>
      </c>
      <c r="I786" s="3" t="s">
        <v>3</v>
      </c>
      <c r="J786" s="3" t="s">
        <v>97</v>
      </c>
      <c r="L786" s="3" t="s">
        <v>5</v>
      </c>
      <c r="M786" s="3" t="s">
        <v>7</v>
      </c>
    </row>
    <row r="787" spans="1:13" x14ac:dyDescent="0.25">
      <c r="A787" s="60" t="s">
        <v>98</v>
      </c>
      <c r="B787" s="4"/>
      <c r="C787" s="3" t="s">
        <v>10</v>
      </c>
      <c r="D787" s="5">
        <v>0.12559999999999999</v>
      </c>
      <c r="E787" s="6">
        <f>(E802*D787)</f>
        <v>125.6</v>
      </c>
      <c r="I787" s="60" t="s">
        <v>98</v>
      </c>
      <c r="J787" s="4"/>
      <c r="K787" s="3" t="s">
        <v>10</v>
      </c>
      <c r="L787" s="5">
        <v>0.14560000000000001</v>
      </c>
      <c r="M787" s="6">
        <f>(M802*L787)</f>
        <v>145.6</v>
      </c>
    </row>
    <row r="788" spans="1:13" x14ac:dyDescent="0.25">
      <c r="A788" s="61"/>
      <c r="B788" s="4"/>
      <c r="C788" s="3" t="s">
        <v>166</v>
      </c>
      <c r="D788" s="5">
        <v>0.03</v>
      </c>
      <c r="E788" s="6">
        <f>(E802*D788)</f>
        <v>30</v>
      </c>
      <c r="I788" s="61"/>
      <c r="J788" s="4"/>
      <c r="K788" s="3" t="s">
        <v>166</v>
      </c>
      <c r="L788" s="5">
        <v>0.01</v>
      </c>
      <c r="M788" s="6">
        <f>(M802*L788)</f>
        <v>10</v>
      </c>
    </row>
    <row r="789" spans="1:13" x14ac:dyDescent="0.25">
      <c r="A789" s="61"/>
      <c r="B789" s="4"/>
      <c r="C789" s="3" t="s">
        <v>13</v>
      </c>
      <c r="D789" s="22">
        <v>1.6000000000000001E-3</v>
      </c>
      <c r="E789" s="6">
        <f>(E802*D789)</f>
        <v>1.6</v>
      </c>
      <c r="I789" s="61"/>
      <c r="J789" s="4"/>
      <c r="K789" s="3" t="s">
        <v>13</v>
      </c>
      <c r="L789" s="22">
        <v>1.6000000000000001E-3</v>
      </c>
      <c r="M789" s="6">
        <f>(M802*L789)</f>
        <v>1.6</v>
      </c>
    </row>
    <row r="790" spans="1:13" x14ac:dyDescent="0.25">
      <c r="A790" s="61"/>
      <c r="B790" s="4"/>
      <c r="C790" s="3" t="s">
        <v>20</v>
      </c>
      <c r="D790" s="22">
        <v>1E-3</v>
      </c>
      <c r="E790" s="6">
        <f>(E802*D790)</f>
        <v>1</v>
      </c>
      <c r="I790" s="61"/>
      <c r="J790" s="4"/>
      <c r="K790" s="3" t="s">
        <v>20</v>
      </c>
      <c r="L790" s="22">
        <v>1E-3</v>
      </c>
      <c r="M790" s="6">
        <f>(M802*L790)</f>
        <v>1</v>
      </c>
    </row>
    <row r="791" spans="1:13" x14ac:dyDescent="0.25">
      <c r="A791" s="61"/>
      <c r="B791" s="9"/>
      <c r="C791" s="3" t="s">
        <v>77</v>
      </c>
      <c r="D791" s="5">
        <v>2E-3</v>
      </c>
      <c r="E791" s="6">
        <f>(E802*D791)</f>
        <v>2</v>
      </c>
      <c r="I791" s="61"/>
      <c r="J791" s="9"/>
      <c r="K791" s="3" t="s">
        <v>77</v>
      </c>
      <c r="L791" s="5">
        <v>2E-3</v>
      </c>
      <c r="M791" s="6">
        <f>(M802*L791)</f>
        <v>2</v>
      </c>
    </row>
    <row r="792" spans="1:13" x14ac:dyDescent="0.25">
      <c r="A792" s="61"/>
      <c r="B792" s="9"/>
      <c r="C792" s="3" t="s">
        <v>51</v>
      </c>
      <c r="D792" s="5">
        <v>1.6000000000000001E-3</v>
      </c>
      <c r="E792" s="6">
        <f>(E802*D792)</f>
        <v>1.6</v>
      </c>
      <c r="I792" s="61"/>
      <c r="J792" s="9"/>
      <c r="K792" s="3" t="s">
        <v>51</v>
      </c>
      <c r="L792" s="5">
        <v>1.6000000000000001E-3</v>
      </c>
      <c r="M792" s="6">
        <f>(M802*L792)</f>
        <v>1.6</v>
      </c>
    </row>
    <row r="793" spans="1:13" x14ac:dyDescent="0.25">
      <c r="A793" s="61"/>
      <c r="B793" s="9"/>
      <c r="C793" s="3" t="s">
        <v>20</v>
      </c>
      <c r="D793" s="5">
        <v>1E-3</v>
      </c>
      <c r="E793" s="6">
        <f>(E802*D793)</f>
        <v>1</v>
      </c>
      <c r="I793" s="61"/>
      <c r="J793" s="9"/>
      <c r="K793" s="3" t="s">
        <v>20</v>
      </c>
      <c r="L793" s="5">
        <v>1E-3</v>
      </c>
      <c r="M793" s="6">
        <f>(M802*L793)</f>
        <v>1</v>
      </c>
    </row>
    <row r="794" spans="1:13" x14ac:dyDescent="0.25">
      <c r="A794" s="16" t="s">
        <v>99</v>
      </c>
      <c r="B794" s="9"/>
      <c r="C794" s="3" t="s">
        <v>24</v>
      </c>
      <c r="D794" s="5">
        <v>0.12</v>
      </c>
      <c r="E794" s="6">
        <f>(E802*D794)</f>
        <v>120</v>
      </c>
      <c r="I794" s="16" t="s">
        <v>99</v>
      </c>
      <c r="J794" s="9"/>
      <c r="K794" s="3" t="s">
        <v>24</v>
      </c>
      <c r="L794" s="5">
        <v>0.12</v>
      </c>
      <c r="M794" s="6">
        <f>(M802*L794)</f>
        <v>120</v>
      </c>
    </row>
    <row r="795" spans="1:13" x14ac:dyDescent="0.25">
      <c r="A795" s="16" t="s">
        <v>100</v>
      </c>
      <c r="B795" s="9"/>
      <c r="C795" s="3" t="s">
        <v>28</v>
      </c>
      <c r="D795" s="5">
        <v>0.1</v>
      </c>
      <c r="E795" s="6">
        <f>(E802*D795)</f>
        <v>100</v>
      </c>
      <c r="I795" s="16" t="s">
        <v>100</v>
      </c>
      <c r="J795" s="9"/>
      <c r="K795" s="3" t="s">
        <v>28</v>
      </c>
      <c r="L795" s="5">
        <v>0.1</v>
      </c>
      <c r="M795" s="6">
        <f>(M802*L795)</f>
        <v>100</v>
      </c>
    </row>
    <row r="796" spans="1:13" x14ac:dyDescent="0.25">
      <c r="A796" s="16" t="s">
        <v>101</v>
      </c>
      <c r="B796" s="9"/>
      <c r="C796" s="3" t="s">
        <v>30</v>
      </c>
      <c r="D796" s="5">
        <v>0.1</v>
      </c>
      <c r="E796" s="6">
        <f>(E802*D796)</f>
        <v>100</v>
      </c>
      <c r="I796" s="16" t="s">
        <v>101</v>
      </c>
      <c r="J796" s="9"/>
      <c r="K796" s="3" t="s">
        <v>30</v>
      </c>
      <c r="L796" s="5">
        <v>0.1</v>
      </c>
      <c r="M796" s="6">
        <f>(M802*L796)</f>
        <v>100</v>
      </c>
    </row>
    <row r="797" spans="1:13" x14ac:dyDescent="0.25">
      <c r="A797" s="16" t="s">
        <v>102</v>
      </c>
      <c r="B797" s="9"/>
      <c r="C797" s="15" t="s">
        <v>70</v>
      </c>
      <c r="D797" s="5">
        <v>1.17E-2</v>
      </c>
      <c r="E797" s="6">
        <f>(E802*D797)</f>
        <v>11.700000000000001</v>
      </c>
      <c r="I797" s="16" t="s">
        <v>102</v>
      </c>
      <c r="J797" s="9"/>
      <c r="K797" s="15" t="s">
        <v>70</v>
      </c>
      <c r="L797" s="5">
        <v>1.17E-2</v>
      </c>
      <c r="M797" s="6">
        <f>(M802*L797)</f>
        <v>11.700000000000001</v>
      </c>
    </row>
    <row r="798" spans="1:13" ht="27.6" x14ac:dyDescent="0.25">
      <c r="A798" s="26" t="s">
        <v>103</v>
      </c>
      <c r="B798" s="9"/>
      <c r="C798" s="15" t="s">
        <v>32</v>
      </c>
      <c r="D798" s="5">
        <v>0.25</v>
      </c>
      <c r="E798" s="6">
        <f>(E802*D798)</f>
        <v>250</v>
      </c>
      <c r="I798" s="26" t="s">
        <v>103</v>
      </c>
      <c r="J798" s="9"/>
      <c r="K798" s="15" t="s">
        <v>32</v>
      </c>
      <c r="L798" s="5">
        <v>0.25</v>
      </c>
      <c r="M798" s="6">
        <f>(M802*L798)</f>
        <v>250</v>
      </c>
    </row>
    <row r="799" spans="1:13" x14ac:dyDescent="0.25">
      <c r="A799" s="26" t="s">
        <v>131</v>
      </c>
      <c r="B799" s="9"/>
      <c r="C799" s="15" t="s">
        <v>130</v>
      </c>
      <c r="D799" s="5">
        <v>0.03</v>
      </c>
      <c r="E799" s="6">
        <f>(E802*D799)</f>
        <v>30</v>
      </c>
      <c r="I799" s="26" t="s">
        <v>131</v>
      </c>
      <c r="J799" s="9"/>
      <c r="K799" s="15" t="s">
        <v>130</v>
      </c>
      <c r="L799" s="5">
        <v>0.03</v>
      </c>
      <c r="M799" s="6">
        <f>(M802*L799)</f>
        <v>30</v>
      </c>
    </row>
    <row r="800" spans="1:13" x14ac:dyDescent="0.25">
      <c r="A800" s="62" t="s">
        <v>133</v>
      </c>
      <c r="B800" s="9"/>
      <c r="C800" s="15" t="s">
        <v>117</v>
      </c>
      <c r="D800" s="5">
        <v>0.22500000000000001</v>
      </c>
      <c r="E800" s="6">
        <f>(E802*D800)</f>
        <v>225</v>
      </c>
      <c r="I800" s="62" t="s">
        <v>133</v>
      </c>
      <c r="J800" s="9"/>
      <c r="K800" s="15" t="s">
        <v>117</v>
      </c>
      <c r="L800" s="5">
        <v>0.22500000000000001</v>
      </c>
      <c r="M800" s="6">
        <f>(M802*L800)</f>
        <v>225</v>
      </c>
    </row>
    <row r="801" spans="1:13" x14ac:dyDescent="0.25">
      <c r="A801" s="63"/>
      <c r="B801" s="9"/>
      <c r="C801" s="15" t="s">
        <v>20</v>
      </c>
      <c r="D801" s="5">
        <v>5.0000000000000001E-4</v>
      </c>
      <c r="E801" s="6">
        <f>(E802*D801)</f>
        <v>0.5</v>
      </c>
      <c r="I801" s="63"/>
      <c r="J801" s="9"/>
      <c r="K801" s="15" t="s">
        <v>20</v>
      </c>
      <c r="L801" s="5">
        <v>5.0000000000000001E-4</v>
      </c>
      <c r="M801" s="6">
        <f>(M802*L801)</f>
        <v>0.5</v>
      </c>
    </row>
    <row r="802" spans="1:13" x14ac:dyDescent="0.25">
      <c r="A802" s="2"/>
      <c r="B802" s="12"/>
      <c r="C802" s="2"/>
      <c r="D802" s="23">
        <f>SUM(D787:D801)</f>
        <v>0.99999999999999989</v>
      </c>
      <c r="E802" s="19">
        <v>1000</v>
      </c>
      <c r="I802" s="2"/>
      <c r="J802" s="12"/>
      <c r="K802" s="2"/>
      <c r="L802" s="23">
        <f>SUM(L787:L801)</f>
        <v>0.99999999999999989</v>
      </c>
      <c r="M802" s="19">
        <v>1000</v>
      </c>
    </row>
    <row r="803" spans="1:13" x14ac:dyDescent="0.25">
      <c r="E803" s="24">
        <f>SUM(E787:E801)</f>
        <v>1000</v>
      </c>
      <c r="M803" s="24">
        <f>SUM(M787:M801)</f>
        <v>1000</v>
      </c>
    </row>
    <row r="808" spans="1:13" x14ac:dyDescent="0.25">
      <c r="A808" s="54" t="s">
        <v>201</v>
      </c>
      <c r="B808" s="54"/>
      <c r="C808" s="54"/>
      <c r="D808" s="54"/>
      <c r="E808" s="54"/>
      <c r="I808" s="54" t="s">
        <v>202</v>
      </c>
      <c r="J808" s="54"/>
      <c r="K808" s="54"/>
      <c r="L808" s="54"/>
      <c r="M808" s="54"/>
    </row>
    <row r="809" spans="1:13" x14ac:dyDescent="0.25">
      <c r="A809" s="59" t="s">
        <v>203</v>
      </c>
      <c r="B809" s="59"/>
      <c r="C809" s="59"/>
      <c r="D809" s="59"/>
      <c r="E809" s="59"/>
      <c r="I809" s="59" t="s">
        <v>204</v>
      </c>
      <c r="J809" s="59"/>
      <c r="K809" s="59"/>
      <c r="L809" s="59"/>
      <c r="M809" s="59"/>
    </row>
    <row r="810" spans="1:13" x14ac:dyDescent="0.25">
      <c r="A810" s="3" t="s">
        <v>3</v>
      </c>
      <c r="B810" s="3" t="s">
        <v>97</v>
      </c>
      <c r="D810" s="3" t="s">
        <v>5</v>
      </c>
      <c r="E810" s="3" t="s">
        <v>7</v>
      </c>
      <c r="I810" s="3" t="s">
        <v>3</v>
      </c>
      <c r="J810" s="3" t="s">
        <v>97</v>
      </c>
      <c r="L810" s="3" t="s">
        <v>5</v>
      </c>
      <c r="M810" s="3" t="s">
        <v>7</v>
      </c>
    </row>
    <row r="811" spans="1:13" x14ac:dyDescent="0.25">
      <c r="A811" s="60" t="s">
        <v>98</v>
      </c>
      <c r="B811" s="4"/>
      <c r="C811" s="3" t="s">
        <v>10</v>
      </c>
      <c r="D811" s="5">
        <v>0.1173</v>
      </c>
      <c r="E811" s="6">
        <f>(E826*D811)</f>
        <v>129.03</v>
      </c>
      <c r="I811" s="60" t="s">
        <v>98</v>
      </c>
      <c r="J811" s="4"/>
      <c r="K811" s="3" t="s">
        <v>10</v>
      </c>
      <c r="L811" s="5">
        <v>0.13730000000000001</v>
      </c>
      <c r="M811" s="6">
        <f>(M826*L811)</f>
        <v>151.03</v>
      </c>
    </row>
    <row r="812" spans="1:13" x14ac:dyDescent="0.25">
      <c r="A812" s="61"/>
      <c r="B812" s="4"/>
      <c r="C812" s="3" t="s">
        <v>166</v>
      </c>
      <c r="D812" s="5">
        <v>0.03</v>
      </c>
      <c r="E812" s="6">
        <f>(E826*D812)</f>
        <v>33</v>
      </c>
      <c r="I812" s="61"/>
      <c r="J812" s="4"/>
      <c r="K812" s="3" t="s">
        <v>166</v>
      </c>
      <c r="L812" s="5">
        <v>0.01</v>
      </c>
      <c r="M812" s="6">
        <f>(M826*L812)</f>
        <v>11</v>
      </c>
    </row>
    <row r="813" spans="1:13" x14ac:dyDescent="0.25">
      <c r="A813" s="61"/>
      <c r="B813" s="4"/>
      <c r="C813" s="3" t="s">
        <v>13</v>
      </c>
      <c r="D813" s="22">
        <v>1.6000000000000001E-3</v>
      </c>
      <c r="E813" s="6">
        <f>(E826*D813)</f>
        <v>1.76</v>
      </c>
      <c r="I813" s="61"/>
      <c r="J813" s="4"/>
      <c r="K813" s="3" t="s">
        <v>13</v>
      </c>
      <c r="L813" s="22">
        <v>1.6000000000000001E-3</v>
      </c>
      <c r="M813" s="6">
        <f>(M826*L813)</f>
        <v>1.76</v>
      </c>
    </row>
    <row r="814" spans="1:13" x14ac:dyDescent="0.25">
      <c r="A814" s="61"/>
      <c r="B814" s="4"/>
      <c r="C814" s="3" t="s">
        <v>20</v>
      </c>
      <c r="D814" s="22">
        <v>1E-3</v>
      </c>
      <c r="E814" s="6">
        <f>(E826*D814)</f>
        <v>1.1000000000000001</v>
      </c>
      <c r="I814" s="61"/>
      <c r="J814" s="4"/>
      <c r="K814" s="3" t="s">
        <v>20</v>
      </c>
      <c r="L814" s="22">
        <v>1E-3</v>
      </c>
      <c r="M814" s="6">
        <f>(M826*L814)</f>
        <v>1.1000000000000001</v>
      </c>
    </row>
    <row r="815" spans="1:13" x14ac:dyDescent="0.25">
      <c r="A815" s="61"/>
      <c r="B815" s="9"/>
      <c r="C815" s="3" t="s">
        <v>77</v>
      </c>
      <c r="D815" s="5">
        <v>1.6999999999999999E-3</v>
      </c>
      <c r="E815" s="6">
        <f>(E826*D815)</f>
        <v>1.8699999999999999</v>
      </c>
      <c r="I815" s="61"/>
      <c r="J815" s="9"/>
      <c r="K815" s="3" t="s">
        <v>77</v>
      </c>
      <c r="L815" s="5">
        <v>1.6999999999999999E-3</v>
      </c>
      <c r="M815" s="6">
        <f>(M826*L815)</f>
        <v>1.8699999999999999</v>
      </c>
    </row>
    <row r="816" spans="1:13" x14ac:dyDescent="0.25">
      <c r="A816" s="61"/>
      <c r="B816" s="9"/>
      <c r="C816" s="3" t="s">
        <v>51</v>
      </c>
      <c r="D816" s="5">
        <v>1.9E-3</v>
      </c>
      <c r="E816" s="6">
        <f>(E826*D816)</f>
        <v>2.09</v>
      </c>
      <c r="I816" s="61"/>
      <c r="J816" s="9"/>
      <c r="K816" s="3" t="s">
        <v>51</v>
      </c>
      <c r="L816" s="5">
        <v>1.9E-3</v>
      </c>
      <c r="M816" s="6">
        <f>(M826*L816)</f>
        <v>2.09</v>
      </c>
    </row>
    <row r="817" spans="1:13" x14ac:dyDescent="0.25">
      <c r="A817" s="61"/>
      <c r="B817" s="9"/>
      <c r="C817" s="3" t="s">
        <v>20</v>
      </c>
      <c r="D817" s="5">
        <v>1E-3</v>
      </c>
      <c r="E817" s="6">
        <f>(E826*D817)</f>
        <v>1.1000000000000001</v>
      </c>
      <c r="I817" s="61"/>
      <c r="J817" s="9"/>
      <c r="K817" s="3" t="s">
        <v>20</v>
      </c>
      <c r="L817" s="5">
        <v>1E-3</v>
      </c>
      <c r="M817" s="6">
        <f>(M826*L817)</f>
        <v>1.1000000000000001</v>
      </c>
    </row>
    <row r="818" spans="1:13" x14ac:dyDescent="0.25">
      <c r="A818" s="16" t="s">
        <v>99</v>
      </c>
      <c r="B818" s="9"/>
      <c r="C818" s="3" t="s">
        <v>24</v>
      </c>
      <c r="D818" s="5">
        <v>0.12</v>
      </c>
      <c r="E818" s="6">
        <f>(E826*D818)</f>
        <v>132</v>
      </c>
      <c r="I818" s="16" t="s">
        <v>99</v>
      </c>
      <c r="J818" s="9"/>
      <c r="K818" s="3" t="s">
        <v>24</v>
      </c>
      <c r="L818" s="5">
        <v>0.12</v>
      </c>
      <c r="M818" s="6">
        <f>(M826*L818)</f>
        <v>132</v>
      </c>
    </row>
    <row r="819" spans="1:13" x14ac:dyDescent="0.25">
      <c r="A819" s="16" t="s">
        <v>100</v>
      </c>
      <c r="B819" s="9"/>
      <c r="C819" s="3" t="s">
        <v>28</v>
      </c>
      <c r="D819" s="5">
        <v>0.1</v>
      </c>
      <c r="E819" s="6">
        <f>(E826*D819)</f>
        <v>110</v>
      </c>
      <c r="I819" s="16" t="s">
        <v>100</v>
      </c>
      <c r="J819" s="9"/>
      <c r="K819" s="3" t="s">
        <v>28</v>
      </c>
      <c r="L819" s="5">
        <v>0.1</v>
      </c>
      <c r="M819" s="6">
        <f>(M826*L819)</f>
        <v>110</v>
      </c>
    </row>
    <row r="820" spans="1:13" x14ac:dyDescent="0.25">
      <c r="A820" s="16" t="s">
        <v>101</v>
      </c>
      <c r="B820" s="9"/>
      <c r="C820" s="3" t="s">
        <v>30</v>
      </c>
      <c r="D820" s="5">
        <v>0.1</v>
      </c>
      <c r="E820" s="6">
        <f>(E826*D820)</f>
        <v>110</v>
      </c>
      <c r="I820" s="16" t="s">
        <v>101</v>
      </c>
      <c r="J820" s="9"/>
      <c r="K820" s="3" t="s">
        <v>30</v>
      </c>
      <c r="L820" s="5">
        <v>0.1</v>
      </c>
      <c r="M820" s="6">
        <f>(M826*L820)</f>
        <v>110</v>
      </c>
    </row>
    <row r="821" spans="1:13" x14ac:dyDescent="0.25">
      <c r="A821" s="16" t="s">
        <v>102</v>
      </c>
      <c r="B821" s="9"/>
      <c r="C821" s="15" t="s">
        <v>70</v>
      </c>
      <c r="D821" s="5">
        <v>0</v>
      </c>
      <c r="E821" s="6">
        <f>(E826*D821)</f>
        <v>0</v>
      </c>
      <c r="I821" s="16" t="s">
        <v>102</v>
      </c>
      <c r="J821" s="9"/>
      <c r="K821" s="15" t="s">
        <v>70</v>
      </c>
      <c r="L821" s="5">
        <v>0</v>
      </c>
      <c r="M821" s="6">
        <f>(M826*L821)</f>
        <v>0</v>
      </c>
    </row>
    <row r="822" spans="1:13" ht="27.6" x14ac:dyDescent="0.25">
      <c r="A822" s="26" t="s">
        <v>103</v>
      </c>
      <c r="B822" s="9"/>
      <c r="C822" s="15" t="s">
        <v>32</v>
      </c>
      <c r="D822" s="5">
        <v>0.25</v>
      </c>
      <c r="E822" s="6">
        <f>(E826*D822)</f>
        <v>275</v>
      </c>
      <c r="I822" s="26" t="s">
        <v>103</v>
      </c>
      <c r="J822" s="9"/>
      <c r="K822" s="15" t="s">
        <v>32</v>
      </c>
      <c r="L822" s="5">
        <v>0.25</v>
      </c>
      <c r="M822" s="6">
        <f>(M826*L822)</f>
        <v>275</v>
      </c>
    </row>
    <row r="823" spans="1:13" x14ac:dyDescent="0.25">
      <c r="A823" s="26" t="s">
        <v>131</v>
      </c>
      <c r="B823" s="9"/>
      <c r="C823" s="15" t="s">
        <v>130</v>
      </c>
      <c r="D823" s="5">
        <v>0.03</v>
      </c>
      <c r="E823" s="6">
        <f>(E826*D823)</f>
        <v>33</v>
      </c>
      <c r="I823" s="26" t="s">
        <v>131</v>
      </c>
      <c r="J823" s="9"/>
      <c r="K823" s="15" t="s">
        <v>130</v>
      </c>
      <c r="L823" s="5">
        <v>0.03</v>
      </c>
      <c r="M823" s="6">
        <f>(M826*L823)</f>
        <v>33</v>
      </c>
    </row>
    <row r="824" spans="1:13" x14ac:dyDescent="0.25">
      <c r="A824" s="62" t="s">
        <v>133</v>
      </c>
      <c r="B824" s="9"/>
      <c r="C824" s="15" t="s">
        <v>110</v>
      </c>
      <c r="D824" s="5">
        <v>0.245</v>
      </c>
      <c r="E824" s="6">
        <f>(E826*D824)</f>
        <v>269.5</v>
      </c>
      <c r="I824" s="62" t="s">
        <v>133</v>
      </c>
      <c r="J824" s="9"/>
      <c r="K824" s="15" t="s">
        <v>110</v>
      </c>
      <c r="L824" s="5">
        <v>0.245</v>
      </c>
      <c r="M824" s="6">
        <f>(M826*L824)</f>
        <v>269.5</v>
      </c>
    </row>
    <row r="825" spans="1:13" x14ac:dyDescent="0.25">
      <c r="A825" s="63"/>
      <c r="B825" s="9"/>
      <c r="C825" s="15" t="s">
        <v>20</v>
      </c>
      <c r="D825" s="5">
        <v>5.0000000000000001E-4</v>
      </c>
      <c r="E825" s="6">
        <f>(E826*D825)</f>
        <v>0.55000000000000004</v>
      </c>
      <c r="I825" s="63"/>
      <c r="J825" s="9"/>
      <c r="K825" s="15" t="s">
        <v>20</v>
      </c>
      <c r="L825" s="5">
        <v>5.0000000000000001E-4</v>
      </c>
      <c r="M825" s="6">
        <f>(M826*L825)</f>
        <v>0.55000000000000004</v>
      </c>
    </row>
    <row r="826" spans="1:13" x14ac:dyDescent="0.25">
      <c r="A826" s="2"/>
      <c r="B826" s="12"/>
      <c r="C826" s="2"/>
      <c r="D826" s="23">
        <f>SUM(D811:D825)</f>
        <v>0.99999999999999989</v>
      </c>
      <c r="E826" s="19">
        <v>1100</v>
      </c>
      <c r="I826" s="2"/>
      <c r="J826" s="12"/>
      <c r="K826" s="2"/>
      <c r="L826" s="23">
        <f>SUM(L811:L825)</f>
        <v>1</v>
      </c>
      <c r="M826" s="19">
        <v>1100</v>
      </c>
    </row>
    <row r="827" spans="1:13" x14ac:dyDescent="0.25">
      <c r="E827" s="24">
        <f>SUM(E811:E825)</f>
        <v>1100</v>
      </c>
      <c r="M827" s="24">
        <f>SUM(M811:M825)</f>
        <v>1100</v>
      </c>
    </row>
    <row r="831" spans="1:13" x14ac:dyDescent="0.25">
      <c r="A831" s="54" t="s">
        <v>205</v>
      </c>
      <c r="B831" s="54"/>
      <c r="C831" s="54"/>
      <c r="D831" s="54"/>
      <c r="E831" s="54"/>
      <c r="I831" s="54" t="s">
        <v>206</v>
      </c>
      <c r="J831" s="54"/>
      <c r="K831" s="54"/>
      <c r="L831" s="54"/>
      <c r="M831" s="54"/>
    </row>
    <row r="832" spans="1:13" x14ac:dyDescent="0.25">
      <c r="A832" s="59" t="s">
        <v>207</v>
      </c>
      <c r="B832" s="59"/>
      <c r="C832" s="59"/>
      <c r="D832" s="59"/>
      <c r="E832" s="59"/>
      <c r="I832" s="59" t="s">
        <v>208</v>
      </c>
      <c r="J832" s="59"/>
      <c r="K832" s="59"/>
      <c r="L832" s="59"/>
      <c r="M832" s="59"/>
    </row>
    <row r="833" spans="1:13" x14ac:dyDescent="0.25">
      <c r="A833" s="3" t="s">
        <v>3</v>
      </c>
      <c r="B833" s="3" t="s">
        <v>97</v>
      </c>
      <c r="D833" s="3" t="s">
        <v>5</v>
      </c>
      <c r="E833" s="3" t="s">
        <v>7</v>
      </c>
      <c r="I833" s="3" t="s">
        <v>3</v>
      </c>
      <c r="J833" s="3" t="s">
        <v>97</v>
      </c>
      <c r="L833" s="3" t="s">
        <v>5</v>
      </c>
      <c r="M833" s="3" t="s">
        <v>7</v>
      </c>
    </row>
    <row r="834" spans="1:13" x14ac:dyDescent="0.25">
      <c r="A834" s="60" t="s">
        <v>98</v>
      </c>
      <c r="B834" s="4"/>
      <c r="C834" s="3" t="s">
        <v>10</v>
      </c>
      <c r="D834" s="5">
        <v>0.12559999999999999</v>
      </c>
      <c r="E834" s="6">
        <f>(E849*D834)</f>
        <v>125.6</v>
      </c>
      <c r="I834" s="60" t="s">
        <v>98</v>
      </c>
      <c r="J834" s="4"/>
      <c r="K834" s="3" t="s">
        <v>10</v>
      </c>
      <c r="L834" s="5">
        <v>0.14560000000000001</v>
      </c>
      <c r="M834" s="6">
        <f>(M849*L834)</f>
        <v>582.4</v>
      </c>
    </row>
    <row r="835" spans="1:13" x14ac:dyDescent="0.25">
      <c r="A835" s="61"/>
      <c r="B835" s="4"/>
      <c r="C835" s="3" t="s">
        <v>166</v>
      </c>
      <c r="D835" s="5">
        <v>0.03</v>
      </c>
      <c r="E835" s="6">
        <f>(E849*D835)</f>
        <v>30</v>
      </c>
      <c r="I835" s="61"/>
      <c r="J835" s="4"/>
      <c r="K835" s="3" t="s">
        <v>166</v>
      </c>
      <c r="L835" s="5">
        <v>0.01</v>
      </c>
      <c r="M835" s="6">
        <f>(M849*L835)</f>
        <v>40</v>
      </c>
    </row>
    <row r="836" spans="1:13" x14ac:dyDescent="0.25">
      <c r="A836" s="61"/>
      <c r="B836" s="4"/>
      <c r="C836" s="3" t="s">
        <v>13</v>
      </c>
      <c r="D836" s="22">
        <v>1.6000000000000001E-3</v>
      </c>
      <c r="E836" s="6">
        <f>(E849*D836)</f>
        <v>1.6</v>
      </c>
      <c r="I836" s="61"/>
      <c r="J836" s="4"/>
      <c r="K836" s="3" t="s">
        <v>13</v>
      </c>
      <c r="L836" s="22">
        <v>1.6000000000000001E-3</v>
      </c>
      <c r="M836" s="6">
        <f>(M849*L836)</f>
        <v>6.4</v>
      </c>
    </row>
    <row r="837" spans="1:13" x14ac:dyDescent="0.25">
      <c r="A837" s="61"/>
      <c r="B837" s="4"/>
      <c r="C837" s="3" t="s">
        <v>20</v>
      </c>
      <c r="D837" s="22">
        <v>1E-3</v>
      </c>
      <c r="E837" s="6">
        <f>(E849*D837)</f>
        <v>1</v>
      </c>
      <c r="I837" s="61"/>
      <c r="J837" s="4"/>
      <c r="K837" s="3" t="s">
        <v>20</v>
      </c>
      <c r="L837" s="22">
        <v>1E-3</v>
      </c>
      <c r="M837" s="6">
        <f>(M849*L837)</f>
        <v>4</v>
      </c>
    </row>
    <row r="838" spans="1:13" x14ac:dyDescent="0.25">
      <c r="A838" s="61"/>
      <c r="B838" s="9"/>
      <c r="C838" s="3" t="s">
        <v>77</v>
      </c>
      <c r="D838" s="5">
        <v>2E-3</v>
      </c>
      <c r="E838" s="6">
        <f>(E849*D838)</f>
        <v>2</v>
      </c>
      <c r="I838" s="61"/>
      <c r="J838" s="9"/>
      <c r="K838" s="3" t="s">
        <v>77</v>
      </c>
      <c r="L838" s="5">
        <v>2E-3</v>
      </c>
      <c r="M838" s="6">
        <f>(M849*L838)</f>
        <v>8</v>
      </c>
    </row>
    <row r="839" spans="1:13" x14ac:dyDescent="0.25">
      <c r="A839" s="61"/>
      <c r="B839" s="9"/>
      <c r="C839" s="3" t="s">
        <v>51</v>
      </c>
      <c r="D839" s="5">
        <v>1.6000000000000001E-3</v>
      </c>
      <c r="E839" s="6">
        <f>(E849*D839)</f>
        <v>1.6</v>
      </c>
      <c r="I839" s="61"/>
      <c r="J839" s="9"/>
      <c r="K839" s="3" t="s">
        <v>51</v>
      </c>
      <c r="L839" s="5">
        <v>1.6000000000000001E-3</v>
      </c>
      <c r="M839" s="6">
        <f>(M849*L839)</f>
        <v>6.4</v>
      </c>
    </row>
    <row r="840" spans="1:13" x14ac:dyDescent="0.25">
      <c r="A840" s="61"/>
      <c r="B840" s="9"/>
      <c r="C840" s="3" t="s">
        <v>20</v>
      </c>
      <c r="D840" s="5">
        <v>1E-3</v>
      </c>
      <c r="E840" s="6">
        <f>(E849*D840)</f>
        <v>1</v>
      </c>
      <c r="I840" s="61"/>
      <c r="J840" s="9"/>
      <c r="K840" s="3" t="s">
        <v>20</v>
      </c>
      <c r="L840" s="5">
        <v>1E-3</v>
      </c>
      <c r="M840" s="6">
        <f>(M849*L840)</f>
        <v>4</v>
      </c>
    </row>
    <row r="841" spans="1:13" x14ac:dyDescent="0.25">
      <c r="A841" s="16" t="s">
        <v>99</v>
      </c>
      <c r="B841" s="9"/>
      <c r="C841" s="3" t="s">
        <v>24</v>
      </c>
      <c r="D841" s="5">
        <v>0.12</v>
      </c>
      <c r="E841" s="6">
        <f>(E849*D841)</f>
        <v>120</v>
      </c>
      <c r="I841" s="16" t="s">
        <v>99</v>
      </c>
      <c r="J841" s="9"/>
      <c r="K841" s="3" t="s">
        <v>24</v>
      </c>
      <c r="L841" s="5">
        <v>0.12</v>
      </c>
      <c r="M841" s="6">
        <f>(M849*L841)</f>
        <v>480</v>
      </c>
    </row>
    <row r="842" spans="1:13" x14ac:dyDescent="0.25">
      <c r="A842" s="16" t="s">
        <v>100</v>
      </c>
      <c r="B842" s="9"/>
      <c r="C842" s="3" t="s">
        <v>28</v>
      </c>
      <c r="D842" s="5">
        <v>0.1</v>
      </c>
      <c r="E842" s="6">
        <f>(E849*D842)</f>
        <v>100</v>
      </c>
      <c r="I842" s="16" t="s">
        <v>100</v>
      </c>
      <c r="J842" s="9"/>
      <c r="K842" s="3" t="s">
        <v>28</v>
      </c>
      <c r="L842" s="5">
        <v>0.1</v>
      </c>
      <c r="M842" s="6">
        <f>(M849*L842)</f>
        <v>400</v>
      </c>
    </row>
    <row r="843" spans="1:13" x14ac:dyDescent="0.25">
      <c r="A843" s="16" t="s">
        <v>101</v>
      </c>
      <c r="B843" s="9"/>
      <c r="C843" s="3" t="s">
        <v>30</v>
      </c>
      <c r="D843" s="5">
        <v>0.1</v>
      </c>
      <c r="E843" s="6">
        <f>(E849*D843)</f>
        <v>100</v>
      </c>
      <c r="I843" s="16" t="s">
        <v>101</v>
      </c>
      <c r="J843" s="9"/>
      <c r="K843" s="3" t="s">
        <v>30</v>
      </c>
      <c r="L843" s="5">
        <v>0.1</v>
      </c>
      <c r="M843" s="6">
        <f>(M849*L843)</f>
        <v>400</v>
      </c>
    </row>
    <row r="844" spans="1:13" x14ac:dyDescent="0.25">
      <c r="A844" s="16" t="s">
        <v>102</v>
      </c>
      <c r="B844" s="9"/>
      <c r="C844" s="15" t="s">
        <v>70</v>
      </c>
      <c r="D844" s="5">
        <v>1.17E-2</v>
      </c>
      <c r="E844" s="6">
        <f>(E849*D844)</f>
        <v>11.700000000000001</v>
      </c>
      <c r="I844" s="16" t="s">
        <v>102</v>
      </c>
      <c r="J844" s="9"/>
      <c r="K844" s="15" t="s">
        <v>70</v>
      </c>
      <c r="L844" s="5">
        <v>1.17E-2</v>
      </c>
      <c r="M844" s="6">
        <f>(M849*L844)</f>
        <v>46.800000000000004</v>
      </c>
    </row>
    <row r="845" spans="1:13" ht="27.6" x14ac:dyDescent="0.25">
      <c r="A845" s="26" t="s">
        <v>103</v>
      </c>
      <c r="B845" s="9"/>
      <c r="C845" s="15" t="s">
        <v>124</v>
      </c>
      <c r="D845" s="5">
        <v>0.25</v>
      </c>
      <c r="E845" s="6">
        <f>(E849*D845)</f>
        <v>250</v>
      </c>
      <c r="I845" s="26" t="s">
        <v>103</v>
      </c>
      <c r="J845" s="9"/>
      <c r="K845" s="15" t="s">
        <v>124</v>
      </c>
      <c r="L845" s="5">
        <v>0.25</v>
      </c>
      <c r="M845" s="6">
        <f>(M849*L845)</f>
        <v>1000</v>
      </c>
    </row>
    <row r="846" spans="1:13" x14ac:dyDescent="0.25">
      <c r="A846" s="26" t="s">
        <v>131</v>
      </c>
      <c r="B846" s="9"/>
      <c r="C846" s="15" t="s">
        <v>130</v>
      </c>
      <c r="D846" s="5">
        <v>0.03</v>
      </c>
      <c r="E846" s="6">
        <f>(E849*D846)</f>
        <v>30</v>
      </c>
      <c r="I846" s="26" t="s">
        <v>131</v>
      </c>
      <c r="J846" s="9"/>
      <c r="K846" s="15" t="s">
        <v>130</v>
      </c>
      <c r="L846" s="5">
        <v>0.03</v>
      </c>
      <c r="M846" s="6">
        <f>(M849*L846)</f>
        <v>120</v>
      </c>
    </row>
    <row r="847" spans="1:13" x14ac:dyDescent="0.25">
      <c r="A847" s="62" t="s">
        <v>133</v>
      </c>
      <c r="B847" s="9"/>
      <c r="C847" s="15" t="s">
        <v>117</v>
      </c>
      <c r="D847" s="5">
        <v>0.22500000000000001</v>
      </c>
      <c r="E847" s="6">
        <f>(E849*D847)</f>
        <v>225</v>
      </c>
      <c r="I847" s="62" t="s">
        <v>133</v>
      </c>
      <c r="J847" s="9"/>
      <c r="K847" s="15" t="s">
        <v>117</v>
      </c>
      <c r="L847" s="5">
        <v>0.22500000000000001</v>
      </c>
      <c r="M847" s="6">
        <f>(M849*L847)</f>
        <v>900</v>
      </c>
    </row>
    <row r="848" spans="1:13" x14ac:dyDescent="0.25">
      <c r="A848" s="63"/>
      <c r="B848" s="9"/>
      <c r="C848" s="15" t="s">
        <v>20</v>
      </c>
      <c r="D848" s="5">
        <v>5.0000000000000001E-4</v>
      </c>
      <c r="E848" s="6">
        <f>(E849*D848)</f>
        <v>0.5</v>
      </c>
      <c r="I848" s="63"/>
      <c r="J848" s="9"/>
      <c r="K848" s="15" t="s">
        <v>20</v>
      </c>
      <c r="L848" s="5">
        <v>5.0000000000000001E-4</v>
      </c>
      <c r="M848" s="6">
        <f>(M849*L848)</f>
        <v>2</v>
      </c>
    </row>
    <row r="849" spans="1:13" x14ac:dyDescent="0.25">
      <c r="A849" s="2"/>
      <c r="B849" s="12"/>
      <c r="C849" s="2"/>
      <c r="D849" s="23">
        <f>SUM(D834:D848)</f>
        <v>0.99999999999999989</v>
      </c>
      <c r="E849" s="19">
        <v>1000</v>
      </c>
      <c r="I849" s="2"/>
      <c r="J849" s="12"/>
      <c r="K849" s="2"/>
      <c r="L849" s="23">
        <f>SUM(L834:L848)</f>
        <v>0.99999999999999989</v>
      </c>
      <c r="M849" s="19">
        <v>4000</v>
      </c>
    </row>
    <row r="850" spans="1:13" x14ac:dyDescent="0.25">
      <c r="E850" s="24">
        <f>SUM(E834:E848)</f>
        <v>1000</v>
      </c>
      <c r="M850" s="24">
        <f>SUM(M834:M848)</f>
        <v>4000</v>
      </c>
    </row>
    <row r="855" spans="1:13" x14ac:dyDescent="0.25">
      <c r="A855" s="54" t="s">
        <v>209</v>
      </c>
      <c r="B855" s="54"/>
      <c r="C855" s="54"/>
      <c r="D855" s="54"/>
      <c r="E855" s="54"/>
      <c r="I855" s="54" t="s">
        <v>210</v>
      </c>
      <c r="J855" s="54"/>
      <c r="K855" s="54"/>
      <c r="L855" s="54"/>
      <c r="M855" s="54"/>
    </row>
    <row r="856" spans="1:13" x14ac:dyDescent="0.25">
      <c r="A856" s="59" t="s">
        <v>211</v>
      </c>
      <c r="B856" s="59"/>
      <c r="C856" s="59"/>
      <c r="D856" s="59"/>
      <c r="E856" s="59"/>
      <c r="I856" s="59" t="s">
        <v>212</v>
      </c>
      <c r="J856" s="59"/>
      <c r="K856" s="59"/>
      <c r="L856" s="59"/>
      <c r="M856" s="59"/>
    </row>
    <row r="857" spans="1:13" x14ac:dyDescent="0.25">
      <c r="A857" s="3" t="s">
        <v>3</v>
      </c>
      <c r="B857" s="3" t="s">
        <v>97</v>
      </c>
      <c r="D857" s="3" t="s">
        <v>5</v>
      </c>
      <c r="E857" s="3" t="s">
        <v>7</v>
      </c>
      <c r="I857" s="3" t="s">
        <v>3</v>
      </c>
      <c r="J857" s="3" t="s">
        <v>97</v>
      </c>
      <c r="L857" s="3" t="s">
        <v>5</v>
      </c>
      <c r="M857" s="3" t="s">
        <v>7</v>
      </c>
    </row>
    <row r="858" spans="1:13" x14ac:dyDescent="0.25">
      <c r="A858" s="60" t="s">
        <v>98</v>
      </c>
      <c r="B858" s="4"/>
      <c r="C858" s="3" t="s">
        <v>10</v>
      </c>
      <c r="D858" s="5">
        <v>0.1173</v>
      </c>
      <c r="E858" s="6">
        <f>(E873*D858)</f>
        <v>129.03</v>
      </c>
      <c r="I858" s="60" t="s">
        <v>98</v>
      </c>
      <c r="J858" s="4"/>
      <c r="K858" s="3" t="s">
        <v>10</v>
      </c>
      <c r="L858" s="5">
        <v>0.13689999999999999</v>
      </c>
      <c r="M858" s="6">
        <f>(M873*L858)</f>
        <v>547.6</v>
      </c>
    </row>
    <row r="859" spans="1:13" x14ac:dyDescent="0.25">
      <c r="A859" s="61"/>
      <c r="B859" s="4"/>
      <c r="C859" s="3" t="s">
        <v>166</v>
      </c>
      <c r="D859" s="5">
        <v>0.03</v>
      </c>
      <c r="E859" s="6">
        <f>(E873*D859)</f>
        <v>33</v>
      </c>
      <c r="I859" s="61"/>
      <c r="J859" s="4"/>
      <c r="K859" s="3" t="s">
        <v>166</v>
      </c>
      <c r="L859" s="5">
        <v>0.01</v>
      </c>
      <c r="M859" s="6">
        <f>(M873*L859)</f>
        <v>40</v>
      </c>
    </row>
    <row r="860" spans="1:13" x14ac:dyDescent="0.25">
      <c r="A860" s="61"/>
      <c r="B860" s="4"/>
      <c r="C860" s="3" t="s">
        <v>13</v>
      </c>
      <c r="D860" s="22">
        <v>1.6000000000000001E-3</v>
      </c>
      <c r="E860" s="6">
        <f>(E873*D860)</f>
        <v>1.76</v>
      </c>
      <c r="I860" s="61"/>
      <c r="J860" s="4"/>
      <c r="K860" s="3" t="s">
        <v>13</v>
      </c>
      <c r="L860" s="22">
        <v>1.6000000000000001E-3</v>
      </c>
      <c r="M860" s="6">
        <f>(M873*L860)</f>
        <v>6.4</v>
      </c>
    </row>
    <row r="861" spans="1:13" x14ac:dyDescent="0.25">
      <c r="A861" s="61"/>
      <c r="B861" s="4"/>
      <c r="C861" s="3" t="s">
        <v>20</v>
      </c>
      <c r="D861" s="22">
        <v>1E-3</v>
      </c>
      <c r="E861" s="6">
        <f>(E873*D861)</f>
        <v>1.1000000000000001</v>
      </c>
      <c r="I861" s="61"/>
      <c r="J861" s="4"/>
      <c r="K861" s="3" t="s">
        <v>20</v>
      </c>
      <c r="L861" s="22">
        <v>1E-3</v>
      </c>
      <c r="M861" s="6">
        <f>(M873*L861)</f>
        <v>4</v>
      </c>
    </row>
    <row r="862" spans="1:13" x14ac:dyDescent="0.25">
      <c r="A862" s="61"/>
      <c r="B862" s="9"/>
      <c r="C862" s="3" t="s">
        <v>77</v>
      </c>
      <c r="D862" s="5">
        <v>1.6999999999999999E-3</v>
      </c>
      <c r="E862" s="6">
        <f>(E873*D862)</f>
        <v>1.8699999999999999</v>
      </c>
      <c r="I862" s="61"/>
      <c r="J862" s="9"/>
      <c r="K862" s="3" t="s">
        <v>77</v>
      </c>
      <c r="L862" s="5">
        <v>1.6999999999999999E-3</v>
      </c>
      <c r="M862" s="6">
        <f>(M873*L862)</f>
        <v>6.8</v>
      </c>
    </row>
    <row r="863" spans="1:13" x14ac:dyDescent="0.25">
      <c r="A863" s="61"/>
      <c r="B863" s="9"/>
      <c r="C863" s="3" t="s">
        <v>51</v>
      </c>
      <c r="D863" s="5">
        <v>1.9E-3</v>
      </c>
      <c r="E863" s="6">
        <f>(E873*D863)</f>
        <v>2.09</v>
      </c>
      <c r="I863" s="61"/>
      <c r="J863" s="9"/>
      <c r="K863" s="3" t="s">
        <v>51</v>
      </c>
      <c r="L863" s="5">
        <v>2.3E-3</v>
      </c>
      <c r="M863" s="6">
        <f>(M873*L863)</f>
        <v>9.1999999999999993</v>
      </c>
    </row>
    <row r="864" spans="1:13" x14ac:dyDescent="0.25">
      <c r="A864" s="61"/>
      <c r="B864" s="9"/>
      <c r="C864" s="3" t="s">
        <v>20</v>
      </c>
      <c r="D864" s="5">
        <v>1E-3</v>
      </c>
      <c r="E864" s="6">
        <f>(E873*D864)</f>
        <v>1.1000000000000001</v>
      </c>
      <c r="I864" s="61"/>
      <c r="J864" s="9"/>
      <c r="K864" s="3" t="s">
        <v>20</v>
      </c>
      <c r="L864" s="5">
        <v>1E-3</v>
      </c>
      <c r="M864" s="6">
        <f>(M873*L864)</f>
        <v>4</v>
      </c>
    </row>
    <row r="865" spans="1:13" x14ac:dyDescent="0.25">
      <c r="A865" s="16" t="s">
        <v>99</v>
      </c>
      <c r="B865" s="9"/>
      <c r="C865" s="3" t="s">
        <v>24</v>
      </c>
      <c r="D865" s="5">
        <v>0.12</v>
      </c>
      <c r="E865" s="6">
        <f>(E873*D865)</f>
        <v>132</v>
      </c>
      <c r="I865" s="16" t="s">
        <v>99</v>
      </c>
      <c r="J865" s="9"/>
      <c r="K865" s="3" t="s">
        <v>24</v>
      </c>
      <c r="L865" s="5">
        <v>0.12</v>
      </c>
      <c r="M865" s="6">
        <f>(M873*L865)</f>
        <v>480</v>
      </c>
    </row>
    <row r="866" spans="1:13" x14ac:dyDescent="0.25">
      <c r="A866" s="16" t="s">
        <v>100</v>
      </c>
      <c r="B866" s="9"/>
      <c r="C866" s="3" t="s">
        <v>28</v>
      </c>
      <c r="D866" s="5">
        <v>0.1</v>
      </c>
      <c r="E866" s="6">
        <f>(E873*D866)</f>
        <v>110</v>
      </c>
      <c r="I866" s="16" t="s">
        <v>100</v>
      </c>
      <c r="J866" s="9"/>
      <c r="K866" s="3" t="s">
        <v>28</v>
      </c>
      <c r="L866" s="5">
        <v>0.1</v>
      </c>
      <c r="M866" s="6">
        <f>(M873*L866)</f>
        <v>400</v>
      </c>
    </row>
    <row r="867" spans="1:13" x14ac:dyDescent="0.25">
      <c r="A867" s="16" t="s">
        <v>101</v>
      </c>
      <c r="B867" s="9"/>
      <c r="C867" s="3" t="s">
        <v>30</v>
      </c>
      <c r="D867" s="5">
        <v>0.1</v>
      </c>
      <c r="E867" s="6">
        <f>(E873*D867)</f>
        <v>110</v>
      </c>
      <c r="I867" s="16" t="s">
        <v>101</v>
      </c>
      <c r="J867" s="9"/>
      <c r="K867" s="3" t="s">
        <v>30</v>
      </c>
      <c r="L867" s="5">
        <v>0.1</v>
      </c>
      <c r="M867" s="6">
        <f>(M873*L867)</f>
        <v>400</v>
      </c>
    </row>
    <row r="868" spans="1:13" x14ac:dyDescent="0.25">
      <c r="A868" s="16" t="s">
        <v>102</v>
      </c>
      <c r="B868" s="9"/>
      <c r="C868" s="15" t="s">
        <v>70</v>
      </c>
      <c r="D868" s="5">
        <v>0</v>
      </c>
      <c r="E868" s="6">
        <f>(E873*D868)</f>
        <v>0</v>
      </c>
      <c r="I868" s="16" t="s">
        <v>102</v>
      </c>
      <c r="J868" s="9"/>
      <c r="K868" s="15" t="s">
        <v>70</v>
      </c>
      <c r="L868" s="5">
        <v>0</v>
      </c>
      <c r="M868" s="6">
        <f>(M873*L868)</f>
        <v>0</v>
      </c>
    </row>
    <row r="869" spans="1:13" ht="27.6" x14ac:dyDescent="0.25">
      <c r="A869" s="26" t="s">
        <v>103</v>
      </c>
      <c r="B869" s="9"/>
      <c r="C869" s="15" t="s">
        <v>124</v>
      </c>
      <c r="D869" s="5">
        <v>0.25</v>
      </c>
      <c r="E869" s="6">
        <f>(E873*D869)</f>
        <v>275</v>
      </c>
      <c r="I869" s="26" t="s">
        <v>103</v>
      </c>
      <c r="J869" s="9"/>
      <c r="K869" s="15" t="s">
        <v>124</v>
      </c>
      <c r="L869" s="5">
        <v>0.25</v>
      </c>
      <c r="M869" s="6">
        <f>(M873*L869)</f>
        <v>1000</v>
      </c>
    </row>
    <row r="870" spans="1:13" x14ac:dyDescent="0.25">
      <c r="A870" s="26" t="s">
        <v>131</v>
      </c>
      <c r="B870" s="9"/>
      <c r="C870" s="15" t="s">
        <v>130</v>
      </c>
      <c r="D870" s="5">
        <v>0.03</v>
      </c>
      <c r="E870" s="6">
        <f>(E873*D870)</f>
        <v>33</v>
      </c>
      <c r="I870" s="26" t="s">
        <v>131</v>
      </c>
      <c r="J870" s="9"/>
      <c r="K870" s="15" t="s">
        <v>130</v>
      </c>
      <c r="L870" s="5">
        <v>0.03</v>
      </c>
      <c r="M870" s="6">
        <f>(M873*L870)</f>
        <v>120</v>
      </c>
    </row>
    <row r="871" spans="1:13" x14ac:dyDescent="0.25">
      <c r="A871" s="62" t="s">
        <v>133</v>
      </c>
      <c r="B871" s="9"/>
      <c r="C871" s="15" t="s">
        <v>153</v>
      </c>
      <c r="D871" s="5">
        <v>0.245</v>
      </c>
      <c r="E871" s="6">
        <f>(E873*D871)</f>
        <v>269.5</v>
      </c>
      <c r="I871" s="62" t="s">
        <v>133</v>
      </c>
      <c r="J871" s="9"/>
      <c r="K871" s="15" t="s">
        <v>153</v>
      </c>
      <c r="L871" s="5">
        <v>0.245</v>
      </c>
      <c r="M871" s="6">
        <f>(M873*L871)</f>
        <v>980</v>
      </c>
    </row>
    <row r="872" spans="1:13" x14ac:dyDescent="0.25">
      <c r="A872" s="63"/>
      <c r="B872" s="9"/>
      <c r="C872" s="15" t="s">
        <v>20</v>
      </c>
      <c r="D872" s="5">
        <v>5.0000000000000001E-4</v>
      </c>
      <c r="E872" s="6">
        <f>(E873*D872)</f>
        <v>0.55000000000000004</v>
      </c>
      <c r="I872" s="63"/>
      <c r="J872" s="9"/>
      <c r="K872" s="15" t="s">
        <v>20</v>
      </c>
      <c r="L872" s="5">
        <v>5.0000000000000001E-4</v>
      </c>
      <c r="M872" s="6">
        <f>(M873*L872)</f>
        <v>2</v>
      </c>
    </row>
    <row r="873" spans="1:13" x14ac:dyDescent="0.25">
      <c r="A873" s="2"/>
      <c r="B873" s="12"/>
      <c r="C873" s="2"/>
      <c r="D873" s="23">
        <f>SUM(D858:D872)</f>
        <v>0.99999999999999989</v>
      </c>
      <c r="E873" s="19">
        <v>1100</v>
      </c>
      <c r="I873" s="2"/>
      <c r="J873" s="12"/>
      <c r="K873" s="2"/>
      <c r="L873" s="23">
        <f>SUM(L858:L872)</f>
        <v>0.99999999999999989</v>
      </c>
      <c r="M873" s="19">
        <v>4000</v>
      </c>
    </row>
    <row r="874" spans="1:13" x14ac:dyDescent="0.25">
      <c r="E874" s="24">
        <f>SUM(E858:E872)</f>
        <v>1100</v>
      </c>
      <c r="M874" s="24">
        <f>SUM(M858:M872)</f>
        <v>4000</v>
      </c>
    </row>
    <row r="879" spans="1:13" x14ac:dyDescent="0.25">
      <c r="A879" s="54" t="s">
        <v>213</v>
      </c>
      <c r="B879" s="54"/>
      <c r="C879" s="54"/>
      <c r="D879" s="54"/>
      <c r="E879" s="54"/>
      <c r="I879" s="54" t="s">
        <v>214</v>
      </c>
      <c r="J879" s="54"/>
      <c r="K879" s="54"/>
      <c r="L879" s="54"/>
      <c r="M879" s="54"/>
    </row>
    <row r="880" spans="1:13" x14ac:dyDescent="0.25">
      <c r="A880" s="59" t="s">
        <v>215</v>
      </c>
      <c r="B880" s="59"/>
      <c r="C880" s="59"/>
      <c r="D880" s="59"/>
      <c r="E880" s="59"/>
      <c r="I880" s="59" t="s">
        <v>216</v>
      </c>
      <c r="J880" s="59"/>
      <c r="K880" s="59"/>
      <c r="L880" s="59"/>
      <c r="M880" s="59"/>
    </row>
    <row r="881" spans="1:13" x14ac:dyDescent="0.25">
      <c r="A881" s="3" t="s">
        <v>3</v>
      </c>
      <c r="B881" s="3" t="s">
        <v>97</v>
      </c>
      <c r="D881" s="3" t="s">
        <v>5</v>
      </c>
      <c r="E881" s="3" t="s">
        <v>7</v>
      </c>
      <c r="I881" s="3" t="s">
        <v>3</v>
      </c>
      <c r="J881" s="3" t="s">
        <v>97</v>
      </c>
      <c r="L881" s="3" t="s">
        <v>5</v>
      </c>
      <c r="M881" s="3" t="s">
        <v>7</v>
      </c>
    </row>
    <row r="882" spans="1:13" x14ac:dyDescent="0.25">
      <c r="A882" s="60" t="s">
        <v>98</v>
      </c>
      <c r="B882" s="4"/>
      <c r="C882" s="3" t="s">
        <v>10</v>
      </c>
      <c r="D882" s="5">
        <v>0.16500000000000001</v>
      </c>
      <c r="E882" s="6">
        <f t="shared" ref="E882:E895" si="46">(E$634*D882)</f>
        <v>165</v>
      </c>
      <c r="I882" s="60" t="s">
        <v>98</v>
      </c>
      <c r="J882" s="4"/>
      <c r="K882" s="3" t="s">
        <v>10</v>
      </c>
      <c r="L882" s="5">
        <v>0.17499999999999999</v>
      </c>
      <c r="M882" s="6">
        <f t="shared" ref="M882:M895" si="47">(M$634*L882)</f>
        <v>175</v>
      </c>
    </row>
    <row r="883" spans="1:13" x14ac:dyDescent="0.25">
      <c r="A883" s="61"/>
      <c r="B883" s="4"/>
      <c r="C883" s="3" t="s">
        <v>13</v>
      </c>
      <c r="D883" s="22">
        <v>1.6000000000000001E-3</v>
      </c>
      <c r="E883" s="6">
        <f t="shared" si="46"/>
        <v>1.6</v>
      </c>
      <c r="I883" s="61"/>
      <c r="J883" s="4"/>
      <c r="K883" s="3" t="s">
        <v>13</v>
      </c>
      <c r="L883" s="22">
        <v>1.6000000000000001E-3</v>
      </c>
      <c r="M883" s="6">
        <f t="shared" si="47"/>
        <v>1.6</v>
      </c>
    </row>
    <row r="884" spans="1:13" x14ac:dyDescent="0.25">
      <c r="A884" s="61"/>
      <c r="B884" s="4"/>
      <c r="C884" s="3" t="s">
        <v>20</v>
      </c>
      <c r="D884" s="22">
        <v>1E-3</v>
      </c>
      <c r="E884" s="6">
        <f t="shared" si="46"/>
        <v>1</v>
      </c>
      <c r="I884" s="61"/>
      <c r="J884" s="4"/>
      <c r="K884" s="3" t="s">
        <v>20</v>
      </c>
      <c r="L884" s="22">
        <v>1E-3</v>
      </c>
      <c r="M884" s="6">
        <f t="shared" si="47"/>
        <v>1</v>
      </c>
    </row>
    <row r="885" spans="1:13" x14ac:dyDescent="0.25">
      <c r="A885" s="61"/>
      <c r="B885" s="9"/>
      <c r="C885" s="3" t="s">
        <v>77</v>
      </c>
      <c r="D885" s="5">
        <v>2E-3</v>
      </c>
      <c r="E885" s="6">
        <f t="shared" si="46"/>
        <v>2</v>
      </c>
      <c r="I885" s="61"/>
      <c r="J885" s="9"/>
      <c r="K885" s="3" t="s">
        <v>77</v>
      </c>
      <c r="L885" s="5">
        <v>2E-3</v>
      </c>
      <c r="M885" s="6">
        <f t="shared" si="47"/>
        <v>2</v>
      </c>
    </row>
    <row r="886" spans="1:13" x14ac:dyDescent="0.25">
      <c r="A886" s="61"/>
      <c r="B886" s="9"/>
      <c r="C886" s="3" t="s">
        <v>51</v>
      </c>
      <c r="D886" s="5">
        <v>1.6999999999999999E-3</v>
      </c>
      <c r="E886" s="6">
        <f t="shared" si="46"/>
        <v>1.7</v>
      </c>
      <c r="I886" s="61"/>
      <c r="J886" s="9"/>
      <c r="K886" s="3" t="s">
        <v>51</v>
      </c>
      <c r="L886" s="5">
        <v>1.6999999999999999E-3</v>
      </c>
      <c r="M886" s="6">
        <f t="shared" si="47"/>
        <v>1.7</v>
      </c>
    </row>
    <row r="887" spans="1:13" x14ac:dyDescent="0.25">
      <c r="A887" s="61"/>
      <c r="B887" s="9"/>
      <c r="C887" s="3" t="s">
        <v>20</v>
      </c>
      <c r="D887" s="5">
        <v>1E-3</v>
      </c>
      <c r="E887" s="6">
        <f t="shared" si="46"/>
        <v>1</v>
      </c>
      <c r="I887" s="61"/>
      <c r="J887" s="9"/>
      <c r="K887" s="3" t="s">
        <v>20</v>
      </c>
      <c r="L887" s="5">
        <v>1E-3</v>
      </c>
      <c r="M887" s="6">
        <f t="shared" si="47"/>
        <v>1</v>
      </c>
    </row>
    <row r="888" spans="1:13" x14ac:dyDescent="0.25">
      <c r="A888" s="16" t="s">
        <v>99</v>
      </c>
      <c r="B888" s="9"/>
      <c r="C888" s="3" t="s">
        <v>24</v>
      </c>
      <c r="D888" s="5">
        <v>0.12</v>
      </c>
      <c r="E888" s="6">
        <f t="shared" si="46"/>
        <v>120</v>
      </c>
      <c r="I888" s="16" t="s">
        <v>99</v>
      </c>
      <c r="J888" s="9"/>
      <c r="K888" s="3" t="s">
        <v>24</v>
      </c>
      <c r="L888" s="5">
        <v>0.12</v>
      </c>
      <c r="M888" s="6">
        <f t="shared" si="47"/>
        <v>120</v>
      </c>
    </row>
    <row r="889" spans="1:13" x14ac:dyDescent="0.25">
      <c r="A889" s="16" t="s">
        <v>100</v>
      </c>
      <c r="B889" s="9"/>
      <c r="C889" s="3" t="s">
        <v>28</v>
      </c>
      <c r="D889" s="5">
        <v>0.09</v>
      </c>
      <c r="E889" s="6">
        <f t="shared" si="46"/>
        <v>90</v>
      </c>
      <c r="I889" s="16" t="s">
        <v>100</v>
      </c>
      <c r="J889" s="9"/>
      <c r="K889" s="3" t="s">
        <v>217</v>
      </c>
      <c r="L889" s="5">
        <v>0.09</v>
      </c>
      <c r="M889" s="6">
        <f t="shared" si="47"/>
        <v>90</v>
      </c>
    </row>
    <row r="890" spans="1:13" x14ac:dyDescent="0.25">
      <c r="A890" s="16" t="s">
        <v>101</v>
      </c>
      <c r="B890" s="9"/>
      <c r="C890" s="3" t="s">
        <v>30</v>
      </c>
      <c r="D890" s="5">
        <v>0.09</v>
      </c>
      <c r="E890" s="6">
        <f t="shared" si="46"/>
        <v>90</v>
      </c>
      <c r="I890" s="16" t="s">
        <v>101</v>
      </c>
      <c r="J890" s="9"/>
      <c r="K890" s="3" t="s">
        <v>30</v>
      </c>
      <c r="L890" s="5">
        <v>0.09</v>
      </c>
      <c r="M890" s="6">
        <f t="shared" si="47"/>
        <v>90</v>
      </c>
    </row>
    <row r="891" spans="1:13" x14ac:dyDescent="0.25">
      <c r="A891" s="16" t="s">
        <v>102</v>
      </c>
      <c r="B891" s="9"/>
      <c r="C891" s="15" t="s">
        <v>70</v>
      </c>
      <c r="D891" s="5">
        <v>1.17E-2</v>
      </c>
      <c r="E891" s="6">
        <f t="shared" si="46"/>
        <v>11.700000000000001</v>
      </c>
      <c r="I891" s="16" t="s">
        <v>102</v>
      </c>
      <c r="J891" s="9"/>
      <c r="K891" s="15" t="s">
        <v>218</v>
      </c>
      <c r="L891" s="5">
        <v>1.17E-2</v>
      </c>
      <c r="M891" s="6">
        <f t="shared" si="47"/>
        <v>11.700000000000001</v>
      </c>
    </row>
    <row r="892" spans="1:13" ht="27.6" x14ac:dyDescent="0.25">
      <c r="A892" s="26" t="s">
        <v>103</v>
      </c>
      <c r="B892" s="9"/>
      <c r="C892" s="15" t="s">
        <v>124</v>
      </c>
      <c r="D892" s="5">
        <v>0.25</v>
      </c>
      <c r="E892" s="6">
        <f t="shared" si="46"/>
        <v>250</v>
      </c>
      <c r="I892" s="26" t="s">
        <v>103</v>
      </c>
      <c r="J892" s="9"/>
      <c r="K892" s="15" t="s">
        <v>124</v>
      </c>
      <c r="L892" s="5">
        <v>0.25</v>
      </c>
      <c r="M892" s="6">
        <f t="shared" si="47"/>
        <v>250</v>
      </c>
    </row>
    <row r="893" spans="1:13" x14ac:dyDescent="0.25">
      <c r="A893" s="26" t="s">
        <v>131</v>
      </c>
      <c r="B893" s="9"/>
      <c r="C893" s="15" t="s">
        <v>130</v>
      </c>
      <c r="D893" s="5">
        <v>0.04</v>
      </c>
      <c r="E893" s="6">
        <f t="shared" si="46"/>
        <v>40</v>
      </c>
      <c r="I893" s="26" t="s">
        <v>131</v>
      </c>
      <c r="J893" s="9"/>
      <c r="K893" s="15" t="s">
        <v>130</v>
      </c>
      <c r="L893" s="5">
        <v>0.03</v>
      </c>
      <c r="M893" s="6">
        <f t="shared" si="47"/>
        <v>30</v>
      </c>
    </row>
    <row r="894" spans="1:13" x14ac:dyDescent="0.25">
      <c r="A894" s="16" t="s">
        <v>104</v>
      </c>
      <c r="B894" s="9"/>
      <c r="C894" s="15" t="s">
        <v>117</v>
      </c>
      <c r="D894" s="5">
        <v>0.22500000000000001</v>
      </c>
      <c r="E894" s="6">
        <f t="shared" si="46"/>
        <v>225</v>
      </c>
      <c r="I894" s="16" t="s">
        <v>104</v>
      </c>
      <c r="J894" s="9"/>
      <c r="K894" s="15" t="s">
        <v>117</v>
      </c>
      <c r="L894" s="5">
        <v>0.22500000000000001</v>
      </c>
      <c r="M894" s="6">
        <f t="shared" si="47"/>
        <v>225</v>
      </c>
    </row>
    <row r="895" spans="1:13" x14ac:dyDescent="0.25">
      <c r="A895" s="16" t="s">
        <v>105</v>
      </c>
      <c r="B895" s="9"/>
      <c r="C895" s="15" t="s">
        <v>20</v>
      </c>
      <c r="D895" s="5">
        <v>1E-3</v>
      </c>
      <c r="E895" s="6">
        <f t="shared" si="46"/>
        <v>1</v>
      </c>
      <c r="I895" s="16" t="s">
        <v>105</v>
      </c>
      <c r="J895" s="9"/>
      <c r="K895" s="15" t="s">
        <v>20</v>
      </c>
      <c r="L895" s="5">
        <v>1E-3</v>
      </c>
      <c r="M895" s="6">
        <f t="shared" si="47"/>
        <v>1</v>
      </c>
    </row>
    <row r="896" spans="1:13" x14ac:dyDescent="0.25">
      <c r="A896" s="2"/>
      <c r="B896" s="12"/>
      <c r="C896" s="2"/>
      <c r="D896" s="23">
        <f>SUM(D882:D895)</f>
        <v>1</v>
      </c>
      <c r="E896" s="19">
        <v>1000</v>
      </c>
      <c r="I896" s="2"/>
      <c r="J896" s="12"/>
      <c r="K896" s="2"/>
      <c r="L896" s="23">
        <f>SUM(L882:L895)</f>
        <v>1</v>
      </c>
      <c r="M896" s="19">
        <v>1000</v>
      </c>
    </row>
    <row r="897" spans="1:13" x14ac:dyDescent="0.25">
      <c r="E897" s="24">
        <f>SUM(E882:E895)</f>
        <v>1000</v>
      </c>
      <c r="M897" s="24">
        <f>SUM(M882:M895)</f>
        <v>1000</v>
      </c>
    </row>
    <row r="902" spans="1:13" x14ac:dyDescent="0.25">
      <c r="A902" s="54" t="s">
        <v>219</v>
      </c>
      <c r="B902" s="54"/>
      <c r="C902" s="54"/>
      <c r="D902" s="54"/>
      <c r="E902" s="54"/>
    </row>
    <row r="903" spans="1:13" x14ac:dyDescent="0.25">
      <c r="A903" s="59" t="s">
        <v>220</v>
      </c>
      <c r="B903" s="59"/>
      <c r="C903" s="59"/>
      <c r="D903" s="59"/>
      <c r="E903" s="59"/>
      <c r="I903" s="54" t="s">
        <v>221</v>
      </c>
      <c r="J903" s="54"/>
      <c r="K903" s="54"/>
      <c r="L903" s="54"/>
      <c r="M903" s="54"/>
    </row>
    <row r="904" spans="1:13" x14ac:dyDescent="0.25">
      <c r="A904" s="3" t="s">
        <v>3</v>
      </c>
      <c r="B904" s="3" t="s">
        <v>97</v>
      </c>
      <c r="D904" s="3" t="s">
        <v>5</v>
      </c>
      <c r="E904" s="3" t="s">
        <v>7</v>
      </c>
      <c r="I904" s="59" t="s">
        <v>222</v>
      </c>
      <c r="J904" s="59"/>
      <c r="K904" s="59"/>
      <c r="L904" s="59"/>
      <c r="M904" s="59"/>
    </row>
    <row r="905" spans="1:13" x14ac:dyDescent="0.25">
      <c r="A905" s="60" t="s">
        <v>98</v>
      </c>
      <c r="B905" s="4"/>
      <c r="C905" s="3" t="s">
        <v>10</v>
      </c>
      <c r="D905" s="5">
        <v>0.16500000000000001</v>
      </c>
      <c r="E905" s="6">
        <f t="shared" ref="E905:E918" si="48">(E$634*D905)</f>
        <v>165</v>
      </c>
      <c r="I905" s="3" t="s">
        <v>3</v>
      </c>
      <c r="J905" s="3" t="s">
        <v>97</v>
      </c>
      <c r="L905" s="3" t="s">
        <v>5</v>
      </c>
      <c r="M905" s="3" t="s">
        <v>7</v>
      </c>
    </row>
    <row r="906" spans="1:13" x14ac:dyDescent="0.25">
      <c r="A906" s="61"/>
      <c r="B906" s="4"/>
      <c r="C906" s="3" t="s">
        <v>13</v>
      </c>
      <c r="D906" s="22">
        <v>1.6000000000000001E-3</v>
      </c>
      <c r="E906" s="6">
        <f t="shared" si="48"/>
        <v>1.6</v>
      </c>
      <c r="I906" s="60" t="s">
        <v>98</v>
      </c>
      <c r="J906" s="4"/>
      <c r="K906" s="3" t="s">
        <v>10</v>
      </c>
      <c r="L906" s="5">
        <v>0.17499999999999999</v>
      </c>
      <c r="M906" s="6">
        <f t="shared" ref="M906:M919" si="49">(M$634*L906)</f>
        <v>175</v>
      </c>
    </row>
    <row r="907" spans="1:13" x14ac:dyDescent="0.25">
      <c r="A907" s="61"/>
      <c r="B907" s="4"/>
      <c r="C907" s="3" t="s">
        <v>20</v>
      </c>
      <c r="D907" s="22">
        <v>1E-3</v>
      </c>
      <c r="E907" s="6">
        <f t="shared" si="48"/>
        <v>1</v>
      </c>
      <c r="I907" s="61"/>
      <c r="J907" s="4"/>
      <c r="K907" s="3" t="s">
        <v>13</v>
      </c>
      <c r="L907" s="22">
        <v>1.6000000000000001E-3</v>
      </c>
      <c r="M907" s="6">
        <f t="shared" si="49"/>
        <v>1.6</v>
      </c>
    </row>
    <row r="908" spans="1:13" x14ac:dyDescent="0.25">
      <c r="A908" s="61"/>
      <c r="B908" s="9"/>
      <c r="C908" s="3" t="s">
        <v>77</v>
      </c>
      <c r="D908" s="5">
        <v>2E-3</v>
      </c>
      <c r="E908" s="6">
        <f t="shared" si="48"/>
        <v>2</v>
      </c>
      <c r="I908" s="61"/>
      <c r="J908" s="4"/>
      <c r="K908" s="3" t="s">
        <v>20</v>
      </c>
      <c r="L908" s="22">
        <v>1E-3</v>
      </c>
      <c r="M908" s="6">
        <f t="shared" si="49"/>
        <v>1</v>
      </c>
    </row>
    <row r="909" spans="1:13" x14ac:dyDescent="0.25">
      <c r="A909" s="61"/>
      <c r="B909" s="9"/>
      <c r="C909" s="3" t="s">
        <v>51</v>
      </c>
      <c r="D909" s="5">
        <v>1.6999999999999999E-3</v>
      </c>
      <c r="E909" s="6">
        <f t="shared" si="48"/>
        <v>1.7</v>
      </c>
      <c r="I909" s="61"/>
      <c r="J909" s="9"/>
      <c r="K909" s="3" t="s">
        <v>77</v>
      </c>
      <c r="L909" s="5">
        <v>2E-3</v>
      </c>
      <c r="M909" s="6">
        <f t="shared" si="49"/>
        <v>2</v>
      </c>
    </row>
    <row r="910" spans="1:13" x14ac:dyDescent="0.25">
      <c r="A910" s="61"/>
      <c r="B910" s="9"/>
      <c r="C910" s="3" t="s">
        <v>20</v>
      </c>
      <c r="D910" s="5">
        <v>1E-3</v>
      </c>
      <c r="E910" s="6">
        <f t="shared" si="48"/>
        <v>1</v>
      </c>
      <c r="I910" s="61"/>
      <c r="J910" s="9"/>
      <c r="K910" s="3" t="s">
        <v>51</v>
      </c>
      <c r="L910" s="5">
        <v>1.6999999999999999E-3</v>
      </c>
      <c r="M910" s="6">
        <f t="shared" si="49"/>
        <v>1.7</v>
      </c>
    </row>
    <row r="911" spans="1:13" x14ac:dyDescent="0.25">
      <c r="A911" s="16" t="s">
        <v>99</v>
      </c>
      <c r="B911" s="9"/>
      <c r="C911" s="3" t="s">
        <v>24</v>
      </c>
      <c r="D911" s="5">
        <v>0.12</v>
      </c>
      <c r="E911" s="6">
        <f t="shared" si="48"/>
        <v>120</v>
      </c>
      <c r="I911" s="61"/>
      <c r="J911" s="9"/>
      <c r="K911" s="3" t="s">
        <v>20</v>
      </c>
      <c r="L911" s="5">
        <v>1E-3</v>
      </c>
      <c r="M911" s="6">
        <f t="shared" si="49"/>
        <v>1</v>
      </c>
    </row>
    <row r="912" spans="1:13" x14ac:dyDescent="0.25">
      <c r="A912" s="16" t="s">
        <v>100</v>
      </c>
      <c r="B912" s="9"/>
      <c r="C912" s="3" t="s">
        <v>217</v>
      </c>
      <c r="D912" s="5">
        <v>0.09</v>
      </c>
      <c r="E912" s="6">
        <f t="shared" si="48"/>
        <v>90</v>
      </c>
      <c r="I912" s="16" t="s">
        <v>99</v>
      </c>
      <c r="J912" s="9"/>
      <c r="K912" s="3" t="s">
        <v>24</v>
      </c>
      <c r="L912" s="5">
        <v>0.12</v>
      </c>
      <c r="M912" s="6">
        <f t="shared" si="49"/>
        <v>120</v>
      </c>
    </row>
    <row r="913" spans="1:13" x14ac:dyDescent="0.25">
      <c r="A913" s="16" t="s">
        <v>101</v>
      </c>
      <c r="B913" s="9"/>
      <c r="C913" s="3" t="s">
        <v>30</v>
      </c>
      <c r="D913" s="5">
        <v>0.09</v>
      </c>
      <c r="E913" s="6">
        <f t="shared" si="48"/>
        <v>90</v>
      </c>
      <c r="I913" s="16" t="s">
        <v>100</v>
      </c>
      <c r="J913" s="9"/>
      <c r="K913" s="3" t="s">
        <v>223</v>
      </c>
      <c r="L913" s="5">
        <v>0.09</v>
      </c>
      <c r="M913" s="6">
        <f t="shared" si="49"/>
        <v>90</v>
      </c>
    </row>
    <row r="914" spans="1:13" x14ac:dyDescent="0.25">
      <c r="A914" s="16" t="s">
        <v>102</v>
      </c>
      <c r="B914" s="9"/>
      <c r="C914" s="15" t="s">
        <v>70</v>
      </c>
      <c r="D914" s="5">
        <v>1.17E-2</v>
      </c>
      <c r="E914" s="6">
        <f t="shared" si="48"/>
        <v>11.700000000000001</v>
      </c>
      <c r="I914" s="16" t="s">
        <v>101</v>
      </c>
      <c r="J914" s="9"/>
      <c r="K914" s="3" t="s">
        <v>30</v>
      </c>
      <c r="L914" s="5">
        <v>0.09</v>
      </c>
      <c r="M914" s="6">
        <f t="shared" si="49"/>
        <v>90</v>
      </c>
    </row>
    <row r="915" spans="1:13" ht="27.6" x14ac:dyDescent="0.25">
      <c r="A915" s="26" t="s">
        <v>103</v>
      </c>
      <c r="B915" s="9"/>
      <c r="C915" s="15" t="s">
        <v>32</v>
      </c>
      <c r="D915" s="5">
        <v>0.25</v>
      </c>
      <c r="E915" s="6">
        <f t="shared" si="48"/>
        <v>250</v>
      </c>
      <c r="I915" s="16" t="s">
        <v>102</v>
      </c>
      <c r="J915" s="9"/>
      <c r="K915" s="15" t="s">
        <v>218</v>
      </c>
      <c r="L915" s="5">
        <v>1.17E-2</v>
      </c>
      <c r="M915" s="6">
        <f t="shared" si="49"/>
        <v>11.700000000000001</v>
      </c>
    </row>
    <row r="916" spans="1:13" ht="27.6" x14ac:dyDescent="0.25">
      <c r="A916" s="26" t="s">
        <v>131</v>
      </c>
      <c r="B916" s="9"/>
      <c r="C916" s="15" t="s">
        <v>130</v>
      </c>
      <c r="D916" s="5">
        <v>0.04</v>
      </c>
      <c r="E916" s="6">
        <f t="shared" si="48"/>
        <v>40</v>
      </c>
      <c r="I916" s="26" t="s">
        <v>103</v>
      </c>
      <c r="J916" s="9"/>
      <c r="K916" s="15" t="s">
        <v>32</v>
      </c>
      <c r="L916" s="5">
        <v>0.25</v>
      </c>
      <c r="M916" s="6">
        <f t="shared" si="49"/>
        <v>250</v>
      </c>
    </row>
    <row r="917" spans="1:13" x14ac:dyDescent="0.25">
      <c r="A917" s="16" t="s">
        <v>104</v>
      </c>
      <c r="B917" s="9"/>
      <c r="C917" s="15" t="s">
        <v>117</v>
      </c>
      <c r="D917" s="5">
        <v>0.22500000000000001</v>
      </c>
      <c r="E917" s="6">
        <f t="shared" si="48"/>
        <v>225</v>
      </c>
      <c r="I917" s="26" t="s">
        <v>131</v>
      </c>
      <c r="J917" s="9"/>
      <c r="K917" s="15" t="s">
        <v>130</v>
      </c>
      <c r="L917" s="5">
        <v>0.03</v>
      </c>
      <c r="M917" s="6">
        <f t="shared" si="49"/>
        <v>30</v>
      </c>
    </row>
    <row r="918" spans="1:13" x14ac:dyDescent="0.25">
      <c r="A918" s="16" t="s">
        <v>105</v>
      </c>
      <c r="B918" s="9"/>
      <c r="C918" s="15" t="s">
        <v>20</v>
      </c>
      <c r="D918" s="5">
        <v>1E-3</v>
      </c>
      <c r="E918" s="6">
        <f t="shared" si="48"/>
        <v>1</v>
      </c>
      <c r="I918" s="16" t="s">
        <v>104</v>
      </c>
      <c r="J918" s="9"/>
      <c r="K918" s="15" t="s">
        <v>117</v>
      </c>
      <c r="L918" s="5">
        <v>0.22500000000000001</v>
      </c>
      <c r="M918" s="6">
        <f t="shared" si="49"/>
        <v>225</v>
      </c>
    </row>
    <row r="919" spans="1:13" x14ac:dyDescent="0.25">
      <c r="A919" s="2"/>
      <c r="B919" s="12"/>
      <c r="C919" s="2"/>
      <c r="D919" s="23">
        <f>SUM(D905:D918)</f>
        <v>1</v>
      </c>
      <c r="E919" s="19">
        <v>1000</v>
      </c>
      <c r="I919" s="16" t="s">
        <v>105</v>
      </c>
      <c r="J919" s="9"/>
      <c r="K919" s="15" t="s">
        <v>20</v>
      </c>
      <c r="L919" s="5">
        <v>1E-3</v>
      </c>
      <c r="M919" s="6">
        <f t="shared" si="49"/>
        <v>1</v>
      </c>
    </row>
    <row r="920" spans="1:13" x14ac:dyDescent="0.25">
      <c r="E920" s="24">
        <f>SUM(E905:E918)</f>
        <v>1000</v>
      </c>
      <c r="I920" s="2"/>
      <c r="J920" s="12"/>
      <c r="K920" s="2"/>
      <c r="L920" s="23">
        <f>SUM(L906:L919)</f>
        <v>1</v>
      </c>
      <c r="M920" s="19">
        <v>1000</v>
      </c>
    </row>
    <row r="921" spans="1:13" x14ac:dyDescent="0.25">
      <c r="M921" s="24">
        <f>SUM(M906:M919)</f>
        <v>1000</v>
      </c>
    </row>
    <row r="925" spans="1:13" x14ac:dyDescent="0.25">
      <c r="A925" s="54" t="s">
        <v>224</v>
      </c>
      <c r="B925" s="54"/>
      <c r="C925" s="54"/>
      <c r="D925" s="54"/>
      <c r="E925" s="54"/>
      <c r="I925" s="54" t="s">
        <v>225</v>
      </c>
      <c r="J925" s="54"/>
      <c r="K925" s="54"/>
      <c r="L925" s="54"/>
      <c r="M925" s="54"/>
    </row>
    <row r="926" spans="1:13" x14ac:dyDescent="0.25">
      <c r="A926" s="59" t="s">
        <v>226</v>
      </c>
      <c r="B926" s="59"/>
      <c r="C926" s="59"/>
      <c r="D926" s="59"/>
      <c r="E926" s="59"/>
      <c r="I926" s="59" t="s">
        <v>216</v>
      </c>
      <c r="J926" s="59"/>
      <c r="K926" s="59"/>
      <c r="L926" s="59"/>
      <c r="M926" s="59"/>
    </row>
    <row r="927" spans="1:13" x14ac:dyDescent="0.25">
      <c r="A927" s="3" t="s">
        <v>3</v>
      </c>
      <c r="B927" s="3" t="s">
        <v>97</v>
      </c>
      <c r="D927" s="3" t="s">
        <v>5</v>
      </c>
      <c r="E927" s="3" t="s">
        <v>7</v>
      </c>
      <c r="I927" s="3" t="s">
        <v>3</v>
      </c>
      <c r="J927" s="3" t="s">
        <v>97</v>
      </c>
      <c r="L927" s="3" t="s">
        <v>5</v>
      </c>
      <c r="M927" s="3" t="s">
        <v>7</v>
      </c>
    </row>
    <row r="928" spans="1:13" x14ac:dyDescent="0.25">
      <c r="A928" s="60" t="s">
        <v>98</v>
      </c>
      <c r="B928" s="4"/>
      <c r="C928" s="3" t="s">
        <v>10</v>
      </c>
      <c r="D928" s="5">
        <v>0.15060000000000001</v>
      </c>
      <c r="E928" s="6">
        <f>(E943*D928)</f>
        <v>376.50000000000006</v>
      </c>
      <c r="I928" s="60" t="s">
        <v>98</v>
      </c>
      <c r="J928" s="4"/>
      <c r="K928" s="3" t="s">
        <v>10</v>
      </c>
      <c r="L928" s="5">
        <v>0.17469999999999999</v>
      </c>
      <c r="M928" s="6">
        <f t="shared" ref="M928:M941" si="50">(M$634*L928)</f>
        <v>174.7</v>
      </c>
    </row>
    <row r="929" spans="1:13" x14ac:dyDescent="0.25">
      <c r="A929" s="61"/>
      <c r="B929" s="4"/>
      <c r="C929" s="3" t="s">
        <v>166</v>
      </c>
      <c r="D929" s="5">
        <v>1.4999999999999999E-2</v>
      </c>
      <c r="E929" s="6">
        <f>(E943*D929)</f>
        <v>37.5</v>
      </c>
      <c r="I929" s="61"/>
      <c r="J929" s="4"/>
      <c r="K929" s="3" t="s">
        <v>13</v>
      </c>
      <c r="L929" s="22">
        <v>1.6000000000000001E-3</v>
      </c>
      <c r="M929" s="6">
        <f t="shared" si="50"/>
        <v>1.6</v>
      </c>
    </row>
    <row r="930" spans="1:13" x14ac:dyDescent="0.25">
      <c r="A930" s="61"/>
      <c r="B930" s="4"/>
      <c r="C930" s="3" t="s">
        <v>13</v>
      </c>
      <c r="D930" s="22">
        <v>1.6000000000000001E-3</v>
      </c>
      <c r="E930" s="6">
        <f>(E943*D930)</f>
        <v>4</v>
      </c>
      <c r="I930" s="61"/>
      <c r="J930" s="4"/>
      <c r="K930" s="3" t="s">
        <v>20</v>
      </c>
      <c r="L930" s="22">
        <v>1E-3</v>
      </c>
      <c r="M930" s="6">
        <f t="shared" si="50"/>
        <v>1</v>
      </c>
    </row>
    <row r="931" spans="1:13" x14ac:dyDescent="0.25">
      <c r="A931" s="61"/>
      <c r="B931" s="4"/>
      <c r="C931" s="3" t="s">
        <v>20</v>
      </c>
      <c r="D931" s="22">
        <v>1E-3</v>
      </c>
      <c r="E931" s="6">
        <f>(E943*D931)</f>
        <v>2.5</v>
      </c>
      <c r="I931" s="61"/>
      <c r="J931" s="9"/>
      <c r="K931" s="3" t="s">
        <v>77</v>
      </c>
      <c r="L931" s="5">
        <v>2E-3</v>
      </c>
      <c r="M931" s="6">
        <f t="shared" si="50"/>
        <v>2</v>
      </c>
    </row>
    <row r="932" spans="1:13" x14ac:dyDescent="0.25">
      <c r="A932" s="61"/>
      <c r="B932" s="9"/>
      <c r="C932" s="3" t="s">
        <v>227</v>
      </c>
      <c r="D932" s="5">
        <v>2E-3</v>
      </c>
      <c r="E932" s="6">
        <f>(E943*D932)</f>
        <v>5</v>
      </c>
      <c r="I932" s="61"/>
      <c r="J932" s="9"/>
      <c r="K932" s="3" t="s">
        <v>51</v>
      </c>
      <c r="L932" s="5">
        <v>2E-3</v>
      </c>
      <c r="M932" s="6">
        <f t="shared" si="50"/>
        <v>2</v>
      </c>
    </row>
    <row r="933" spans="1:13" x14ac:dyDescent="0.25">
      <c r="A933" s="61"/>
      <c r="B933" s="9"/>
      <c r="C933" s="3" t="s">
        <v>51</v>
      </c>
      <c r="D933" s="5">
        <v>1.6000000000000001E-3</v>
      </c>
      <c r="E933" s="6">
        <f>(E943*D933)</f>
        <v>4</v>
      </c>
      <c r="I933" s="61"/>
      <c r="J933" s="9"/>
      <c r="K933" s="3" t="s">
        <v>20</v>
      </c>
      <c r="L933" s="5">
        <v>1E-3</v>
      </c>
      <c r="M933" s="6">
        <f t="shared" si="50"/>
        <v>1</v>
      </c>
    </row>
    <row r="934" spans="1:13" x14ac:dyDescent="0.25">
      <c r="A934" s="61"/>
      <c r="B934" s="9"/>
      <c r="C934" s="3" t="s">
        <v>20</v>
      </c>
      <c r="D934" s="5">
        <v>1E-3</v>
      </c>
      <c r="E934" s="6">
        <f>(E943*D934)</f>
        <v>2.5</v>
      </c>
      <c r="I934" s="16" t="s">
        <v>99</v>
      </c>
      <c r="J934" s="9"/>
      <c r="K934" s="3" t="s">
        <v>24</v>
      </c>
      <c r="L934" s="5">
        <v>0.12</v>
      </c>
      <c r="M934" s="6">
        <f t="shared" si="50"/>
        <v>120</v>
      </c>
    </row>
    <row r="935" spans="1:13" x14ac:dyDescent="0.25">
      <c r="A935" s="16" t="s">
        <v>99</v>
      </c>
      <c r="B935" s="9"/>
      <c r="C935" s="3" t="s">
        <v>24</v>
      </c>
      <c r="D935" s="5">
        <v>0.12</v>
      </c>
      <c r="E935" s="6">
        <f>(E943*D935)</f>
        <v>300</v>
      </c>
      <c r="I935" s="16" t="s">
        <v>100</v>
      </c>
      <c r="J935" s="9"/>
      <c r="K935" s="3" t="s">
        <v>28</v>
      </c>
      <c r="L935" s="5">
        <v>0.09</v>
      </c>
      <c r="M935" s="6">
        <f t="shared" si="50"/>
        <v>90</v>
      </c>
    </row>
    <row r="936" spans="1:13" x14ac:dyDescent="0.25">
      <c r="A936" s="16" t="s">
        <v>100</v>
      </c>
      <c r="B936" s="9"/>
      <c r="C936" s="3" t="s">
        <v>28</v>
      </c>
      <c r="D936" s="5">
        <v>9.5000000000000001E-2</v>
      </c>
      <c r="E936" s="6">
        <f>(E943*D936)</f>
        <v>237.5</v>
      </c>
      <c r="I936" s="16" t="s">
        <v>101</v>
      </c>
      <c r="J936" s="9"/>
      <c r="K936" s="3" t="s">
        <v>30</v>
      </c>
      <c r="L936" s="5">
        <v>0.09</v>
      </c>
      <c r="M936" s="6">
        <f t="shared" si="50"/>
        <v>90</v>
      </c>
    </row>
    <row r="937" spans="1:13" x14ac:dyDescent="0.25">
      <c r="A937" s="16" t="s">
        <v>101</v>
      </c>
      <c r="B937" s="9"/>
      <c r="C937" s="3" t="s">
        <v>30</v>
      </c>
      <c r="D937" s="5">
        <v>9.5000000000000001E-2</v>
      </c>
      <c r="E937" s="6">
        <f>(E943*D937)</f>
        <v>237.5</v>
      </c>
      <c r="I937" s="16" t="s">
        <v>102</v>
      </c>
      <c r="J937" s="9"/>
      <c r="K937" s="15" t="s">
        <v>218</v>
      </c>
      <c r="L937" s="5">
        <v>1.17E-2</v>
      </c>
      <c r="M937" s="6">
        <f t="shared" si="50"/>
        <v>11.700000000000001</v>
      </c>
    </row>
    <row r="938" spans="1:13" ht="27.6" x14ac:dyDescent="0.25">
      <c r="A938" s="16" t="s">
        <v>102</v>
      </c>
      <c r="B938" s="9"/>
      <c r="C938" s="15" t="s">
        <v>70</v>
      </c>
      <c r="D938" s="5">
        <v>1.17E-2</v>
      </c>
      <c r="E938" s="6">
        <f>(E943*D938)</f>
        <v>29.25</v>
      </c>
      <c r="I938" s="26" t="s">
        <v>103</v>
      </c>
      <c r="J938" s="9"/>
      <c r="K938" s="15" t="s">
        <v>124</v>
      </c>
      <c r="L938" s="5">
        <v>0.25</v>
      </c>
      <c r="M938" s="6">
        <f t="shared" si="50"/>
        <v>250</v>
      </c>
    </row>
    <row r="939" spans="1:13" ht="27.6" x14ac:dyDescent="0.25">
      <c r="A939" s="26" t="s">
        <v>103</v>
      </c>
      <c r="B939" s="9"/>
      <c r="C939" s="15" t="s">
        <v>124</v>
      </c>
      <c r="D939" s="5">
        <v>0.25</v>
      </c>
      <c r="E939" s="6">
        <f>(E943*D939)</f>
        <v>625</v>
      </c>
      <c r="I939" s="26" t="s">
        <v>131</v>
      </c>
      <c r="J939" s="9"/>
      <c r="K939" s="15" t="s">
        <v>130</v>
      </c>
      <c r="L939" s="5">
        <v>0.03</v>
      </c>
      <c r="M939" s="6">
        <f t="shared" si="50"/>
        <v>30</v>
      </c>
    </row>
    <row r="940" spans="1:13" x14ac:dyDescent="0.25">
      <c r="A940" s="26" t="s">
        <v>131</v>
      </c>
      <c r="B940" s="9"/>
      <c r="C940" s="15" t="s">
        <v>130</v>
      </c>
      <c r="D940" s="5">
        <v>0.03</v>
      </c>
      <c r="E940" s="6">
        <f>(E943*D940)</f>
        <v>75</v>
      </c>
      <c r="I940" s="16" t="s">
        <v>104</v>
      </c>
      <c r="J940" s="9"/>
      <c r="K940" s="15" t="s">
        <v>117</v>
      </c>
      <c r="L940" s="5">
        <v>0.22500000000000001</v>
      </c>
      <c r="M940" s="6">
        <f t="shared" si="50"/>
        <v>225</v>
      </c>
    </row>
    <row r="941" spans="1:13" x14ac:dyDescent="0.25">
      <c r="A941" s="62" t="s">
        <v>133</v>
      </c>
      <c r="B941" s="9"/>
      <c r="C941" s="15" t="s">
        <v>117</v>
      </c>
      <c r="D941" s="5">
        <v>0.22500000000000001</v>
      </c>
      <c r="E941" s="6">
        <f>(E943*D941)</f>
        <v>562.5</v>
      </c>
      <c r="I941" s="16" t="s">
        <v>105</v>
      </c>
      <c r="J941" s="9"/>
      <c r="K941" s="15" t="s">
        <v>20</v>
      </c>
      <c r="L941" s="5">
        <v>1E-3</v>
      </c>
      <c r="M941" s="6">
        <f t="shared" si="50"/>
        <v>1</v>
      </c>
    </row>
    <row r="942" spans="1:13" x14ac:dyDescent="0.25">
      <c r="A942" s="63"/>
      <c r="B942" s="9"/>
      <c r="C942" s="15" t="s">
        <v>20</v>
      </c>
      <c r="D942" s="5">
        <v>5.0000000000000001E-4</v>
      </c>
      <c r="E942" s="6">
        <f>(E943*D942)</f>
        <v>1.25</v>
      </c>
      <c r="I942" s="2"/>
      <c r="J942" s="12"/>
      <c r="K942" s="2"/>
      <c r="L942" s="23">
        <f>SUM(L928:L941)</f>
        <v>1</v>
      </c>
      <c r="M942" s="19">
        <v>1000</v>
      </c>
    </row>
    <row r="943" spans="1:13" x14ac:dyDescent="0.25">
      <c r="A943" s="2"/>
      <c r="B943" s="12"/>
      <c r="C943" s="2"/>
      <c r="D943" s="23">
        <f>SUM(D928:D942)</f>
        <v>0.99999999999999989</v>
      </c>
      <c r="E943" s="19">
        <v>2500</v>
      </c>
      <c r="M943" s="24">
        <f>SUM(M928:M941)</f>
        <v>1000</v>
      </c>
    </row>
    <row r="944" spans="1:13" x14ac:dyDescent="0.25">
      <c r="E944" s="24">
        <f>SUM(E928:E942)</f>
        <v>2500</v>
      </c>
    </row>
    <row r="949" spans="1:13" x14ac:dyDescent="0.25">
      <c r="A949" s="54" t="s">
        <v>228</v>
      </c>
      <c r="B949" s="54"/>
      <c r="C949" s="54"/>
      <c r="D949" s="54"/>
      <c r="E949" s="54"/>
      <c r="I949" s="54" t="s">
        <v>229</v>
      </c>
      <c r="J949" s="54"/>
      <c r="K949" s="54"/>
      <c r="L949" s="54"/>
      <c r="M949" s="54"/>
    </row>
    <row r="950" spans="1:13" x14ac:dyDescent="0.25">
      <c r="A950" s="59" t="s">
        <v>230</v>
      </c>
      <c r="B950" s="59"/>
      <c r="C950" s="59"/>
      <c r="D950" s="59"/>
      <c r="E950" s="59"/>
      <c r="I950" s="59" t="s">
        <v>231</v>
      </c>
      <c r="J950" s="59"/>
      <c r="K950" s="59"/>
      <c r="L950" s="59"/>
      <c r="M950" s="59"/>
    </row>
    <row r="951" spans="1:13" x14ac:dyDescent="0.25">
      <c r="A951" s="3" t="s">
        <v>3</v>
      </c>
      <c r="B951" s="3" t="s">
        <v>97</v>
      </c>
      <c r="D951" s="3" t="s">
        <v>5</v>
      </c>
      <c r="E951" s="3" t="s">
        <v>7</v>
      </c>
      <c r="I951" s="3" t="s">
        <v>3</v>
      </c>
      <c r="J951" s="3" t="s">
        <v>97</v>
      </c>
      <c r="L951" s="3" t="s">
        <v>5</v>
      </c>
      <c r="M951" s="3" t="s">
        <v>7</v>
      </c>
    </row>
    <row r="952" spans="1:13" x14ac:dyDescent="0.25">
      <c r="A952" s="60" t="s">
        <v>98</v>
      </c>
      <c r="B952" s="4"/>
      <c r="C952" s="3" t="s">
        <v>10</v>
      </c>
      <c r="D952" s="5">
        <v>0.14940000000000001</v>
      </c>
      <c r="E952" s="6">
        <f>(E967*D952)</f>
        <v>149.4</v>
      </c>
      <c r="I952" s="60" t="s">
        <v>98</v>
      </c>
      <c r="J952" s="4"/>
      <c r="K952" s="3" t="s">
        <v>10</v>
      </c>
      <c r="L952" s="5">
        <v>0.1305</v>
      </c>
      <c r="M952" s="6">
        <f>(M967*L952)</f>
        <v>143.55000000000001</v>
      </c>
    </row>
    <row r="953" spans="1:13" x14ac:dyDescent="0.25">
      <c r="A953" s="61"/>
      <c r="B953" s="4"/>
      <c r="C953" s="3" t="s">
        <v>232</v>
      </c>
      <c r="D953" s="5">
        <v>4.0000000000000001E-3</v>
      </c>
      <c r="E953" s="6">
        <f>(E967*D953)</f>
        <v>4</v>
      </c>
      <c r="I953" s="61"/>
      <c r="J953" s="4"/>
      <c r="K953" s="3"/>
      <c r="L953" s="5"/>
      <c r="M953" s="6"/>
    </row>
    <row r="954" spans="1:13" x14ac:dyDescent="0.25">
      <c r="A954" s="61"/>
      <c r="B954" s="4"/>
      <c r="C954" s="3" t="s">
        <v>166</v>
      </c>
      <c r="D954" s="5">
        <v>0.01</v>
      </c>
      <c r="E954" s="6">
        <f>(E967*D954)</f>
        <v>10</v>
      </c>
      <c r="I954" s="61"/>
      <c r="J954" s="4"/>
      <c r="K954" s="3" t="s">
        <v>166</v>
      </c>
      <c r="L954" s="5">
        <v>0.01</v>
      </c>
      <c r="M954" s="6">
        <f>(M967*L954)</f>
        <v>11</v>
      </c>
    </row>
    <row r="955" spans="1:13" x14ac:dyDescent="0.25">
      <c r="A955" s="61"/>
      <c r="B955" s="4"/>
      <c r="C955" s="3" t="s">
        <v>13</v>
      </c>
      <c r="D955" s="5">
        <v>4.0000000000000001E-3</v>
      </c>
      <c r="E955" s="6">
        <f>(E967*D955)</f>
        <v>4</v>
      </c>
      <c r="I955" s="61"/>
      <c r="J955" s="4"/>
      <c r="K955" s="3" t="s">
        <v>13</v>
      </c>
      <c r="L955" s="22">
        <v>1.6000000000000001E-3</v>
      </c>
      <c r="M955" s="6">
        <f>(M967*L955)</f>
        <v>1.76</v>
      </c>
    </row>
    <row r="956" spans="1:13" x14ac:dyDescent="0.25">
      <c r="A956" s="61"/>
      <c r="B956" s="4"/>
      <c r="C956" s="3" t="s">
        <v>20</v>
      </c>
      <c r="D956" s="5">
        <v>1E-3</v>
      </c>
      <c r="E956" s="6">
        <f>(E967*D956)</f>
        <v>1</v>
      </c>
      <c r="I956" s="61"/>
      <c r="J956" s="4"/>
      <c r="K956" s="3" t="s">
        <v>20</v>
      </c>
      <c r="L956" s="22">
        <v>1E-3</v>
      </c>
      <c r="M956" s="6">
        <f>(M967*L956)</f>
        <v>1.1000000000000001</v>
      </c>
    </row>
    <row r="957" spans="1:13" x14ac:dyDescent="0.25">
      <c r="A957" s="61"/>
      <c r="B957" s="9"/>
      <c r="C957" s="3" t="s">
        <v>51</v>
      </c>
      <c r="D957" s="5">
        <v>1.6000000000000001E-3</v>
      </c>
      <c r="E957" s="6">
        <f>(E967*D957)</f>
        <v>1.6</v>
      </c>
      <c r="I957" s="61"/>
      <c r="J957" s="9"/>
      <c r="K957" s="3" t="s">
        <v>51</v>
      </c>
      <c r="L957" s="5">
        <v>1.6999999999999999E-3</v>
      </c>
      <c r="M957" s="6">
        <f>(M967*L957)</f>
        <v>1.8699999999999999</v>
      </c>
    </row>
    <row r="958" spans="1:13" x14ac:dyDescent="0.25">
      <c r="A958" s="61"/>
      <c r="B958" s="9"/>
      <c r="C958" s="3" t="s">
        <v>20</v>
      </c>
      <c r="D958" s="5">
        <v>1E-3</v>
      </c>
      <c r="E958" s="6">
        <f>(E967*D958)</f>
        <v>1</v>
      </c>
      <c r="I958" s="61"/>
      <c r="J958" s="9"/>
      <c r="K958" s="3" t="s">
        <v>20</v>
      </c>
      <c r="L958" s="5">
        <v>1E-3</v>
      </c>
      <c r="M958" s="6">
        <f>(M967*L958)</f>
        <v>1.1000000000000001</v>
      </c>
    </row>
    <row r="959" spans="1:13" x14ac:dyDescent="0.25">
      <c r="A959" s="16" t="s">
        <v>99</v>
      </c>
      <c r="B959" s="9"/>
      <c r="C959" s="3" t="s">
        <v>24</v>
      </c>
      <c r="D959" s="5">
        <v>0.12</v>
      </c>
      <c r="E959" s="6">
        <f>(E967*D959)</f>
        <v>120</v>
      </c>
      <c r="I959" s="16" t="s">
        <v>99</v>
      </c>
      <c r="J959" s="9"/>
      <c r="K959" s="3" t="s">
        <v>24</v>
      </c>
      <c r="L959" s="5">
        <v>0.12</v>
      </c>
      <c r="M959" s="6">
        <f>(M967*L959)</f>
        <v>132</v>
      </c>
    </row>
    <row r="960" spans="1:13" x14ac:dyDescent="0.25">
      <c r="A960" s="16" t="s">
        <v>100</v>
      </c>
      <c r="B960" s="9"/>
      <c r="C960" s="3" t="s">
        <v>28</v>
      </c>
      <c r="D960" s="5">
        <v>9.2499999999999999E-2</v>
      </c>
      <c r="E960" s="6">
        <f>(E967*D960)</f>
        <v>92.5</v>
      </c>
      <c r="I960" s="16" t="s">
        <v>100</v>
      </c>
      <c r="J960" s="9"/>
      <c r="K960" s="3" t="s">
        <v>28</v>
      </c>
      <c r="L960" s="5">
        <v>0.1</v>
      </c>
      <c r="M960" s="6">
        <f>(M967*L960)</f>
        <v>110</v>
      </c>
    </row>
    <row r="961" spans="1:13" x14ac:dyDescent="0.25">
      <c r="A961" s="16" t="s">
        <v>101</v>
      </c>
      <c r="B961" s="9"/>
      <c r="C961" s="3" t="s">
        <v>30</v>
      </c>
      <c r="D961" s="5">
        <v>9.2499999999999999E-2</v>
      </c>
      <c r="E961" s="6">
        <f>(E967*D961)</f>
        <v>92.5</v>
      </c>
      <c r="I961" s="16" t="s">
        <v>101</v>
      </c>
      <c r="J961" s="9"/>
      <c r="K961" s="3" t="s">
        <v>30</v>
      </c>
      <c r="L961" s="5">
        <v>0.1</v>
      </c>
      <c r="M961" s="6">
        <f>(M967*L961)</f>
        <v>110</v>
      </c>
    </row>
    <row r="962" spans="1:13" x14ac:dyDescent="0.25">
      <c r="A962" s="16" t="s">
        <v>102</v>
      </c>
      <c r="B962" s="9"/>
      <c r="C962" s="15" t="s">
        <v>70</v>
      </c>
      <c r="D962" s="5">
        <v>1.2999999999999999E-2</v>
      </c>
      <c r="E962" s="6">
        <f>(E967*D962)</f>
        <v>13</v>
      </c>
      <c r="I962" s="16" t="s">
        <v>102</v>
      </c>
      <c r="J962" s="9"/>
      <c r="K962" s="15" t="s">
        <v>70</v>
      </c>
      <c r="L962" s="5">
        <v>1.17E-2</v>
      </c>
      <c r="M962" s="6">
        <f>(M967*L962)</f>
        <v>12.870000000000001</v>
      </c>
    </row>
    <row r="963" spans="1:13" ht="27.6" x14ac:dyDescent="0.25">
      <c r="A963" s="26" t="s">
        <v>103</v>
      </c>
      <c r="B963" s="9"/>
      <c r="C963" s="15" t="s">
        <v>124</v>
      </c>
      <c r="D963" s="5">
        <v>0.25</v>
      </c>
      <c r="E963" s="6">
        <f>(E967*D963)</f>
        <v>250</v>
      </c>
      <c r="I963" s="26" t="s">
        <v>103</v>
      </c>
      <c r="J963" s="9"/>
      <c r="K963" s="15" t="s">
        <v>124</v>
      </c>
      <c r="L963" s="5">
        <v>0.25</v>
      </c>
      <c r="M963" s="6">
        <f>(M967*L963)</f>
        <v>275</v>
      </c>
    </row>
    <row r="964" spans="1:13" x14ac:dyDescent="0.25">
      <c r="A964" s="26" t="s">
        <v>131</v>
      </c>
      <c r="B964" s="9"/>
      <c r="C964" s="15" t="s">
        <v>130</v>
      </c>
      <c r="D964" s="5">
        <v>0.03</v>
      </c>
      <c r="E964" s="6">
        <f>(E967*D964)</f>
        <v>30</v>
      </c>
      <c r="I964" s="26" t="s">
        <v>131</v>
      </c>
      <c r="J964" s="9"/>
      <c r="K964" s="15" t="s">
        <v>130</v>
      </c>
      <c r="L964" s="5">
        <v>0.03</v>
      </c>
      <c r="M964" s="6">
        <f>(M967*L964)</f>
        <v>33</v>
      </c>
    </row>
    <row r="965" spans="1:13" x14ac:dyDescent="0.25">
      <c r="A965" s="62" t="s">
        <v>133</v>
      </c>
      <c r="B965" s="9"/>
      <c r="C965" s="15" t="s">
        <v>117</v>
      </c>
      <c r="D965" s="5">
        <v>0.23</v>
      </c>
      <c r="E965" s="6">
        <f>(E967*D965)</f>
        <v>230</v>
      </c>
      <c r="I965" s="62" t="s">
        <v>133</v>
      </c>
      <c r="J965" s="9"/>
      <c r="K965" s="15" t="s">
        <v>117</v>
      </c>
      <c r="L965" s="5">
        <v>0.24</v>
      </c>
      <c r="M965" s="6">
        <f>(M967*L965)</f>
        <v>264</v>
      </c>
    </row>
    <row r="966" spans="1:13" x14ac:dyDescent="0.25">
      <c r="A966" s="63"/>
      <c r="B966" s="9"/>
      <c r="C966" s="15" t="s">
        <v>20</v>
      </c>
      <c r="D966" s="5">
        <v>1E-3</v>
      </c>
      <c r="E966" s="6">
        <f>(E967*D966)</f>
        <v>1</v>
      </c>
      <c r="I966" s="63"/>
      <c r="J966" s="9"/>
      <c r="K966" s="15" t="s">
        <v>20</v>
      </c>
      <c r="L966" s="5">
        <v>5.0000000000000001E-4</v>
      </c>
      <c r="M966" s="6">
        <f>(M967*L966)</f>
        <v>0.55000000000000004</v>
      </c>
    </row>
    <row r="967" spans="1:13" x14ac:dyDescent="0.25">
      <c r="A967" s="2"/>
      <c r="B967" s="12"/>
      <c r="C967" s="2"/>
      <c r="D967" s="23">
        <f>SUM(D952:D966)</f>
        <v>1</v>
      </c>
      <c r="E967" s="19">
        <v>1000</v>
      </c>
      <c r="I967" s="2"/>
      <c r="J967" s="12"/>
      <c r="K967" s="2"/>
      <c r="L967" s="23">
        <f>SUM(L952:L966)</f>
        <v>0.998</v>
      </c>
      <c r="M967" s="19">
        <v>1100</v>
      </c>
    </row>
    <row r="968" spans="1:13" x14ac:dyDescent="0.25">
      <c r="E968" s="24">
        <f>SUM(E952:E966)</f>
        <v>1000</v>
      </c>
      <c r="M968" s="24">
        <f>SUM(M952:M966)</f>
        <v>1097.8</v>
      </c>
    </row>
    <row r="973" spans="1:13" x14ac:dyDescent="0.25">
      <c r="A973" s="54" t="s">
        <v>233</v>
      </c>
      <c r="B973" s="54"/>
      <c r="C973" s="54"/>
      <c r="D973" s="54"/>
      <c r="E973" s="54"/>
    </row>
    <row r="974" spans="1:13" x14ac:dyDescent="0.25">
      <c r="A974" s="59" t="s">
        <v>234</v>
      </c>
      <c r="B974" s="59"/>
      <c r="C974" s="59"/>
      <c r="D974" s="59"/>
      <c r="E974" s="59"/>
      <c r="I974" s="54" t="s">
        <v>235</v>
      </c>
      <c r="J974" s="54"/>
      <c r="K974" s="54"/>
      <c r="L974" s="54"/>
      <c r="M974" s="54"/>
    </row>
    <row r="975" spans="1:13" x14ac:dyDescent="0.25">
      <c r="A975" s="3" t="s">
        <v>3</v>
      </c>
      <c r="B975" s="3" t="s">
        <v>97</v>
      </c>
      <c r="D975" s="3" t="s">
        <v>5</v>
      </c>
      <c r="E975" s="3" t="s">
        <v>7</v>
      </c>
      <c r="I975" s="59" t="s">
        <v>236</v>
      </c>
      <c r="J975" s="59"/>
      <c r="K975" s="59"/>
      <c r="L975" s="59"/>
      <c r="M975" s="59"/>
    </row>
    <row r="976" spans="1:13" x14ac:dyDescent="0.25">
      <c r="A976" s="60" t="s">
        <v>98</v>
      </c>
      <c r="B976" s="4"/>
      <c r="C976" s="3" t="s">
        <v>10</v>
      </c>
      <c r="D976" s="5">
        <v>0.1444</v>
      </c>
      <c r="E976" s="6">
        <f>(E991*D976)</f>
        <v>144.4</v>
      </c>
      <c r="I976" s="3" t="s">
        <v>3</v>
      </c>
      <c r="J976" s="3" t="s">
        <v>97</v>
      </c>
      <c r="L976" s="3" t="s">
        <v>5</v>
      </c>
      <c r="M976" s="3" t="s">
        <v>7</v>
      </c>
    </row>
    <row r="977" spans="1:13" x14ac:dyDescent="0.25">
      <c r="A977" s="61"/>
      <c r="B977" s="4"/>
      <c r="C977" s="3" t="s">
        <v>232</v>
      </c>
      <c r="D977" s="5">
        <v>4.0000000000000001E-3</v>
      </c>
      <c r="E977" s="6">
        <f>(E991*D977)</f>
        <v>4</v>
      </c>
      <c r="I977" s="60" t="s">
        <v>98</v>
      </c>
      <c r="J977" s="4"/>
      <c r="K977" s="3" t="s">
        <v>10</v>
      </c>
      <c r="L977" s="5">
        <v>0.1414</v>
      </c>
      <c r="M977" s="6">
        <f>(M992*L977)</f>
        <v>141.4</v>
      </c>
    </row>
    <row r="978" spans="1:13" x14ac:dyDescent="0.25">
      <c r="A978" s="61"/>
      <c r="B978" s="4"/>
      <c r="C978" s="3" t="s">
        <v>166</v>
      </c>
      <c r="D978" s="5">
        <v>1.4999999999999999E-2</v>
      </c>
      <c r="E978" s="6">
        <f>(E991*D978)</f>
        <v>15</v>
      </c>
      <c r="I978" s="61"/>
      <c r="J978" s="4"/>
      <c r="K978" s="3" t="s">
        <v>232</v>
      </c>
      <c r="L978" s="5">
        <v>4.0000000000000001E-3</v>
      </c>
      <c r="M978" s="6">
        <f>(M992*L978)</f>
        <v>4</v>
      </c>
    </row>
    <row r="979" spans="1:13" x14ac:dyDescent="0.25">
      <c r="A979" s="61"/>
      <c r="B979" s="4"/>
      <c r="C979" s="3" t="s">
        <v>13</v>
      </c>
      <c r="D979" s="5">
        <v>4.0000000000000001E-3</v>
      </c>
      <c r="E979" s="6">
        <f>(E991*D979)</f>
        <v>4</v>
      </c>
      <c r="I979" s="61"/>
      <c r="J979" s="4"/>
      <c r="K979" s="3" t="s">
        <v>166</v>
      </c>
      <c r="L979" s="5">
        <v>0.01</v>
      </c>
      <c r="M979" s="6">
        <f>(M992*L979)</f>
        <v>10</v>
      </c>
    </row>
    <row r="980" spans="1:13" x14ac:dyDescent="0.25">
      <c r="A980" s="61"/>
      <c r="B980" s="4"/>
      <c r="C980" s="3" t="s">
        <v>20</v>
      </c>
      <c r="D980" s="5">
        <v>1E-3</v>
      </c>
      <c r="E980" s="6">
        <f>(E991*D980)</f>
        <v>1</v>
      </c>
      <c r="I980" s="61"/>
      <c r="J980" s="4"/>
      <c r="K980" s="3" t="s">
        <v>13</v>
      </c>
      <c r="L980" s="5">
        <v>4.0000000000000001E-3</v>
      </c>
      <c r="M980" s="6">
        <f>(M992*L980)</f>
        <v>4</v>
      </c>
    </row>
    <row r="981" spans="1:13" x14ac:dyDescent="0.25">
      <c r="A981" s="61"/>
      <c r="B981" s="4"/>
      <c r="C981" s="3" t="s">
        <v>51</v>
      </c>
      <c r="D981" s="5">
        <v>1.6000000000000001E-3</v>
      </c>
      <c r="E981" s="6">
        <f>(E991*D981)</f>
        <v>1.6</v>
      </c>
      <c r="I981" s="61"/>
      <c r="J981" s="4"/>
      <c r="K981" s="3" t="s">
        <v>20</v>
      </c>
      <c r="L981" s="5">
        <v>1E-3</v>
      </c>
      <c r="M981" s="6">
        <f>(M992*L981)</f>
        <v>1</v>
      </c>
    </row>
    <row r="982" spans="1:13" x14ac:dyDescent="0.25">
      <c r="A982" s="61"/>
      <c r="B982" s="9"/>
      <c r="C982" s="3" t="s">
        <v>20</v>
      </c>
      <c r="D982" s="5">
        <v>1E-3</v>
      </c>
      <c r="E982" s="6">
        <f>(E991*D982)</f>
        <v>1</v>
      </c>
      <c r="I982" s="61"/>
      <c r="J982" s="9"/>
      <c r="K982" s="3" t="s">
        <v>51</v>
      </c>
      <c r="L982" s="5">
        <v>2.5999999999999999E-3</v>
      </c>
      <c r="M982" s="6">
        <f>(M992*L982)</f>
        <v>2.6</v>
      </c>
    </row>
    <row r="983" spans="1:13" x14ac:dyDescent="0.25">
      <c r="A983" s="16" t="s">
        <v>99</v>
      </c>
      <c r="B983" s="9"/>
      <c r="C983" s="3" t="s">
        <v>24</v>
      </c>
      <c r="D983" s="5">
        <v>0.12</v>
      </c>
      <c r="E983" s="6">
        <f>(E991*D983)</f>
        <v>120</v>
      </c>
      <c r="I983" s="61"/>
      <c r="J983" s="9"/>
      <c r="K983" s="3" t="s">
        <v>20</v>
      </c>
      <c r="L983" s="5">
        <v>1E-3</v>
      </c>
      <c r="M983" s="6">
        <f>(M992*L983)</f>
        <v>1</v>
      </c>
    </row>
    <row r="984" spans="1:13" x14ac:dyDescent="0.25">
      <c r="A984" s="16" t="s">
        <v>100</v>
      </c>
      <c r="B984" s="9"/>
      <c r="C984" s="3" t="s">
        <v>28</v>
      </c>
      <c r="D984" s="5">
        <v>9.2499999999999999E-2</v>
      </c>
      <c r="E984" s="6">
        <f>(E991*D984)</f>
        <v>92.5</v>
      </c>
      <c r="I984" s="16" t="s">
        <v>99</v>
      </c>
      <c r="J984" s="9"/>
      <c r="K984" s="3" t="s">
        <v>24</v>
      </c>
      <c r="L984" s="5">
        <v>0.12</v>
      </c>
      <c r="M984" s="6">
        <f>(M992*L984)</f>
        <v>120</v>
      </c>
    </row>
    <row r="985" spans="1:13" x14ac:dyDescent="0.25">
      <c r="A985" s="16" t="s">
        <v>101</v>
      </c>
      <c r="B985" s="9"/>
      <c r="C985" s="3" t="s">
        <v>30</v>
      </c>
      <c r="D985" s="5">
        <v>9.2499999999999999E-2</v>
      </c>
      <c r="E985" s="6">
        <f>(E991*D985)</f>
        <v>92.5</v>
      </c>
      <c r="I985" s="16" t="s">
        <v>100</v>
      </c>
      <c r="J985" s="9"/>
      <c r="K985" s="3" t="s">
        <v>28</v>
      </c>
      <c r="L985" s="5">
        <v>9.2499999999999999E-2</v>
      </c>
      <c r="M985" s="6">
        <f>(M992*L985)</f>
        <v>92.5</v>
      </c>
    </row>
    <row r="986" spans="1:13" x14ac:dyDescent="0.25">
      <c r="A986" s="16" t="s">
        <v>102</v>
      </c>
      <c r="B986" s="9"/>
      <c r="C986" s="15" t="s">
        <v>70</v>
      </c>
      <c r="D986" s="5">
        <v>1.2999999999999999E-2</v>
      </c>
      <c r="E986" s="6">
        <f>(E991*D986)</f>
        <v>13</v>
      </c>
      <c r="I986" s="16" t="s">
        <v>101</v>
      </c>
      <c r="J986" s="9"/>
      <c r="K986" s="3" t="s">
        <v>30</v>
      </c>
      <c r="L986" s="5">
        <v>9.2499999999999999E-2</v>
      </c>
      <c r="M986" s="6">
        <f>(M992*L986)</f>
        <v>92.5</v>
      </c>
    </row>
    <row r="987" spans="1:13" ht="27.6" x14ac:dyDescent="0.25">
      <c r="A987" s="26" t="s">
        <v>103</v>
      </c>
      <c r="B987" s="9"/>
      <c r="C987" s="15" t="s">
        <v>124</v>
      </c>
      <c r="D987" s="5">
        <v>0.25</v>
      </c>
      <c r="E987" s="6">
        <f>(E991*D987)</f>
        <v>250</v>
      </c>
      <c r="I987" s="16" t="s">
        <v>102</v>
      </c>
      <c r="J987" s="9"/>
      <c r="K987" s="15" t="s">
        <v>70</v>
      </c>
      <c r="L987" s="5">
        <v>5.0000000000000001E-3</v>
      </c>
      <c r="M987" s="6">
        <f>(M992*L987)</f>
        <v>5</v>
      </c>
    </row>
    <row r="988" spans="1:13" ht="27.6" x14ac:dyDescent="0.25">
      <c r="A988" s="26" t="s">
        <v>131</v>
      </c>
      <c r="B988" s="9"/>
      <c r="C988" s="15" t="s">
        <v>130</v>
      </c>
      <c r="D988" s="5">
        <v>0.03</v>
      </c>
      <c r="E988" s="6">
        <f>(E991*D988)</f>
        <v>30</v>
      </c>
      <c r="I988" s="26" t="s">
        <v>103</v>
      </c>
      <c r="J988" s="9"/>
      <c r="K988" s="15" t="s">
        <v>124</v>
      </c>
      <c r="L988" s="5">
        <v>0.25</v>
      </c>
      <c r="M988" s="6">
        <f>(M992*L988)</f>
        <v>250</v>
      </c>
    </row>
    <row r="989" spans="1:13" x14ac:dyDescent="0.25">
      <c r="A989" s="62" t="s">
        <v>133</v>
      </c>
      <c r="B989" s="9"/>
      <c r="C989" s="15" t="s">
        <v>117</v>
      </c>
      <c r="D989" s="5">
        <v>0.23</v>
      </c>
      <c r="E989" s="6">
        <f>(E991*D989)</f>
        <v>230</v>
      </c>
      <c r="I989" s="26" t="s">
        <v>131</v>
      </c>
      <c r="J989" s="9"/>
      <c r="K989" s="15" t="s">
        <v>130</v>
      </c>
      <c r="L989" s="5">
        <v>0.03</v>
      </c>
      <c r="M989" s="6">
        <f>(M992*L989)</f>
        <v>30</v>
      </c>
    </row>
    <row r="990" spans="1:13" x14ac:dyDescent="0.25">
      <c r="A990" s="63"/>
      <c r="B990" s="9"/>
      <c r="C990" s="15" t="s">
        <v>20</v>
      </c>
      <c r="D990" s="5">
        <v>1E-3</v>
      </c>
      <c r="E990" s="6">
        <f>(E991*D990)</f>
        <v>1</v>
      </c>
      <c r="I990" s="62" t="s">
        <v>133</v>
      </c>
      <c r="J990" s="9"/>
      <c r="K990" s="15" t="s">
        <v>153</v>
      </c>
      <c r="L990" s="5">
        <v>0.245</v>
      </c>
      <c r="M990" s="6">
        <f>(M992*L990)</f>
        <v>245</v>
      </c>
    </row>
    <row r="991" spans="1:13" x14ac:dyDescent="0.25">
      <c r="A991" s="2"/>
      <c r="B991" s="12"/>
      <c r="C991" s="2"/>
      <c r="D991" s="23">
        <f>SUM(D976:D990)</f>
        <v>1</v>
      </c>
      <c r="E991" s="19">
        <v>1000</v>
      </c>
      <c r="I991" s="63"/>
      <c r="J991" s="9"/>
      <c r="K991" s="15" t="s">
        <v>20</v>
      </c>
      <c r="L991" s="5">
        <v>1E-3</v>
      </c>
      <c r="M991" s="6">
        <f>(M992*L991)</f>
        <v>1</v>
      </c>
    </row>
    <row r="992" spans="1:13" x14ac:dyDescent="0.25">
      <c r="E992" s="24">
        <f>SUM(E976:E990)</f>
        <v>1000</v>
      </c>
      <c r="I992" s="2"/>
      <c r="J992" s="12"/>
      <c r="K992" s="2"/>
      <c r="L992" s="23">
        <f>SUM(L977:L991)</f>
        <v>1</v>
      </c>
      <c r="M992" s="19">
        <v>1000</v>
      </c>
    </row>
    <row r="993" spans="1:13" x14ac:dyDescent="0.25">
      <c r="M993" s="24">
        <f>SUM(M977:M991)</f>
        <v>1000</v>
      </c>
    </row>
    <row r="997" spans="1:13" x14ac:dyDescent="0.25">
      <c r="A997" s="54" t="s">
        <v>237</v>
      </c>
      <c r="B997" s="54"/>
      <c r="C997" s="54"/>
      <c r="D997" s="54"/>
      <c r="E997" s="54"/>
      <c r="I997" s="54" t="s">
        <v>238</v>
      </c>
      <c r="J997" s="54"/>
      <c r="K997" s="54"/>
      <c r="L997" s="54"/>
      <c r="M997" s="54"/>
    </row>
    <row r="998" spans="1:13" ht="17.399999999999999" x14ac:dyDescent="0.3">
      <c r="A998" s="59" t="s">
        <v>239</v>
      </c>
      <c r="B998" s="59"/>
      <c r="C998" s="59"/>
      <c r="D998" s="59"/>
      <c r="E998" s="59"/>
      <c r="I998" s="59" t="s">
        <v>240</v>
      </c>
      <c r="J998" s="59"/>
      <c r="K998" s="59"/>
      <c r="L998" s="59"/>
      <c r="M998" s="59"/>
    </row>
    <row r="999" spans="1:13" x14ac:dyDescent="0.25">
      <c r="A999" s="3" t="s">
        <v>3</v>
      </c>
      <c r="B999" s="3" t="s">
        <v>97</v>
      </c>
      <c r="D999" s="3" t="s">
        <v>5</v>
      </c>
      <c r="E999" s="3" t="s">
        <v>7</v>
      </c>
      <c r="I999" s="3" t="s">
        <v>3</v>
      </c>
      <c r="J999" s="3" t="s">
        <v>97</v>
      </c>
      <c r="L999" s="3" t="s">
        <v>5</v>
      </c>
      <c r="M999" s="3" t="s">
        <v>7</v>
      </c>
    </row>
    <row r="1000" spans="1:13" x14ac:dyDescent="0.25">
      <c r="A1000" s="60" t="s">
        <v>98</v>
      </c>
      <c r="B1000" s="4"/>
      <c r="C1000" s="3" t="s">
        <v>10</v>
      </c>
      <c r="D1000" s="5">
        <v>0.14180000000000001</v>
      </c>
      <c r="E1000" s="6">
        <f>(E1015*D1000)</f>
        <v>155.98000000000002</v>
      </c>
      <c r="I1000" s="60" t="s">
        <v>98</v>
      </c>
      <c r="J1000" s="4"/>
      <c r="K1000" s="3" t="s">
        <v>10</v>
      </c>
      <c r="L1000" s="5">
        <v>0.14910000000000001</v>
      </c>
      <c r="M1000" s="6">
        <f>(M1015*L1000)</f>
        <v>149.10000000000002</v>
      </c>
    </row>
    <row r="1001" spans="1:13" x14ac:dyDescent="0.25">
      <c r="A1001" s="61"/>
      <c r="B1001" s="4"/>
      <c r="C1001" s="3" t="s">
        <v>232</v>
      </c>
      <c r="D1001" s="5">
        <v>4.0000000000000001E-3</v>
      </c>
      <c r="E1001" s="6">
        <f>(E1015*D1001)</f>
        <v>4.4000000000000004</v>
      </c>
      <c r="I1001" s="61"/>
      <c r="J1001" s="4"/>
      <c r="K1001" s="3" t="s">
        <v>232</v>
      </c>
      <c r="L1001" s="5">
        <v>4.0000000000000001E-3</v>
      </c>
      <c r="M1001" s="6">
        <f>(M1015*L1001)</f>
        <v>4</v>
      </c>
    </row>
    <row r="1002" spans="1:13" x14ac:dyDescent="0.25">
      <c r="A1002" s="61"/>
      <c r="B1002" s="4"/>
      <c r="C1002" s="3" t="s">
        <v>166</v>
      </c>
      <c r="D1002" s="5">
        <v>1.4999999999999999E-2</v>
      </c>
      <c r="E1002" s="6">
        <f>(E1015*D1002)</f>
        <v>16.5</v>
      </c>
      <c r="I1002" s="61"/>
      <c r="J1002" s="4"/>
      <c r="K1002" s="3" t="s">
        <v>166</v>
      </c>
      <c r="L1002" s="5">
        <v>0.01</v>
      </c>
      <c r="M1002" s="6">
        <f>(M1015*L1002)</f>
        <v>10</v>
      </c>
    </row>
    <row r="1003" spans="1:13" x14ac:dyDescent="0.25">
      <c r="A1003" s="61"/>
      <c r="B1003" s="4"/>
      <c r="C1003" s="3" t="s">
        <v>13</v>
      </c>
      <c r="D1003" s="5">
        <v>4.0000000000000001E-3</v>
      </c>
      <c r="E1003" s="6">
        <f>(E1015*D1003)</f>
        <v>4.4000000000000004</v>
      </c>
      <c r="I1003" s="61"/>
      <c r="J1003" s="4"/>
      <c r="K1003" s="3" t="s">
        <v>13</v>
      </c>
      <c r="L1003" s="5">
        <v>4.0000000000000001E-3</v>
      </c>
      <c r="M1003" s="6">
        <f>(M1015*L1003)</f>
        <v>4</v>
      </c>
    </row>
    <row r="1004" spans="1:13" x14ac:dyDescent="0.25">
      <c r="A1004" s="61"/>
      <c r="B1004" s="4"/>
      <c r="C1004" s="3" t="s">
        <v>20</v>
      </c>
      <c r="D1004" s="5">
        <v>1E-3</v>
      </c>
      <c r="E1004" s="6">
        <f>(E1015*D1004)</f>
        <v>1.1000000000000001</v>
      </c>
      <c r="I1004" s="61"/>
      <c r="J1004" s="4"/>
      <c r="K1004" s="3" t="s">
        <v>20</v>
      </c>
      <c r="L1004" s="5">
        <v>1E-3</v>
      </c>
      <c r="M1004" s="6">
        <f>(M1015*L1004)</f>
        <v>1</v>
      </c>
    </row>
    <row r="1005" spans="1:13" x14ac:dyDescent="0.25">
      <c r="A1005" s="61"/>
      <c r="B1005" s="9"/>
      <c r="C1005" s="3" t="s">
        <v>51</v>
      </c>
      <c r="D1005" s="5">
        <v>2.2000000000000001E-3</v>
      </c>
      <c r="E1005" s="6">
        <f>(E1015*D1005)</f>
        <v>2.42</v>
      </c>
      <c r="I1005" s="61"/>
      <c r="J1005" s="9"/>
      <c r="K1005" s="3" t="s">
        <v>51</v>
      </c>
      <c r="L1005" s="5">
        <v>1.9E-3</v>
      </c>
      <c r="M1005" s="6">
        <f>(M1015*L1005)</f>
        <v>1.9</v>
      </c>
    </row>
    <row r="1006" spans="1:13" x14ac:dyDescent="0.25">
      <c r="A1006" s="61"/>
      <c r="B1006" s="9"/>
      <c r="C1006" s="3" t="s">
        <v>20</v>
      </c>
      <c r="D1006" s="5">
        <v>1E-3</v>
      </c>
      <c r="E1006" s="6">
        <f>(E1015*D1006)</f>
        <v>1.1000000000000001</v>
      </c>
      <c r="I1006" s="61"/>
      <c r="J1006" s="9"/>
      <c r="K1006" s="3" t="s">
        <v>20</v>
      </c>
      <c r="L1006" s="5">
        <v>1E-3</v>
      </c>
      <c r="M1006" s="6">
        <f>(M1015*L1006)</f>
        <v>1</v>
      </c>
    </row>
    <row r="1007" spans="1:13" x14ac:dyDescent="0.25">
      <c r="A1007" s="16" t="s">
        <v>99</v>
      </c>
      <c r="B1007" s="9"/>
      <c r="C1007" s="3" t="s">
        <v>24</v>
      </c>
      <c r="D1007" s="5">
        <v>0.12</v>
      </c>
      <c r="E1007" s="6">
        <f>(E1015*D1007)</f>
        <v>132</v>
      </c>
      <c r="I1007" s="16" t="s">
        <v>241</v>
      </c>
      <c r="J1007" s="9"/>
      <c r="K1007" s="3" t="s">
        <v>24</v>
      </c>
      <c r="L1007" s="5">
        <v>0.12</v>
      </c>
      <c r="M1007" s="6">
        <f>(M1015*L1007)</f>
        <v>120</v>
      </c>
    </row>
    <row r="1008" spans="1:13" x14ac:dyDescent="0.25">
      <c r="A1008" s="16" t="s">
        <v>100</v>
      </c>
      <c r="B1008" s="9"/>
      <c r="C1008" s="3" t="s">
        <v>28</v>
      </c>
      <c r="D1008" s="5">
        <v>9.2499999999999999E-2</v>
      </c>
      <c r="E1008" s="6">
        <f>(E1015*D1008)</f>
        <v>101.75</v>
      </c>
      <c r="I1008" s="16" t="s">
        <v>241</v>
      </c>
      <c r="J1008" s="9"/>
      <c r="K1008" s="3" t="s">
        <v>28</v>
      </c>
      <c r="L1008" s="5">
        <v>9.2499999999999999E-2</v>
      </c>
      <c r="M1008" s="6">
        <f>(M1015*L1008)</f>
        <v>92.5</v>
      </c>
    </row>
    <row r="1009" spans="1:13" x14ac:dyDescent="0.25">
      <c r="A1009" s="16" t="s">
        <v>101</v>
      </c>
      <c r="B1009" s="9"/>
      <c r="C1009" s="3" t="s">
        <v>30</v>
      </c>
      <c r="D1009" s="5">
        <v>9.2499999999999999E-2</v>
      </c>
      <c r="E1009" s="6">
        <f>(E1015*D1009)</f>
        <v>101.75</v>
      </c>
      <c r="I1009" s="16" t="s">
        <v>242</v>
      </c>
      <c r="J1009" s="9"/>
      <c r="K1009" s="3" t="s">
        <v>30</v>
      </c>
      <c r="L1009" s="5">
        <v>9.2499999999999999E-2</v>
      </c>
      <c r="M1009" s="6">
        <f>(M1015*L1009)</f>
        <v>92.5</v>
      </c>
    </row>
    <row r="1010" spans="1:13" x14ac:dyDescent="0.25">
      <c r="A1010" s="16" t="s">
        <v>102</v>
      </c>
      <c r="B1010" s="9"/>
      <c r="C1010" s="15" t="s">
        <v>70</v>
      </c>
      <c r="D1010" s="5">
        <v>5.0000000000000001E-3</v>
      </c>
      <c r="E1010" s="6">
        <f>(E1015*D1010)</f>
        <v>5.5</v>
      </c>
      <c r="I1010" s="16" t="s">
        <v>243</v>
      </c>
      <c r="J1010" s="9"/>
      <c r="K1010" s="15" t="s">
        <v>70</v>
      </c>
      <c r="L1010" s="5">
        <v>1.2999999999999999E-2</v>
      </c>
      <c r="M1010" s="6">
        <f>(M1015*L1010)</f>
        <v>13</v>
      </c>
    </row>
    <row r="1011" spans="1:13" ht="27.6" x14ac:dyDescent="0.25">
      <c r="A1011" s="26" t="s">
        <v>103</v>
      </c>
      <c r="B1011" s="9"/>
      <c r="C1011" s="15" t="s">
        <v>124</v>
      </c>
      <c r="D1011" s="5">
        <v>0.25</v>
      </c>
      <c r="E1011" s="6">
        <f>(E1015*D1011)</f>
        <v>275</v>
      </c>
      <c r="I1011" s="26" t="s">
        <v>244</v>
      </c>
      <c r="J1011" s="9"/>
      <c r="K1011" s="15" t="s">
        <v>124</v>
      </c>
      <c r="L1011" s="5">
        <v>0.25</v>
      </c>
      <c r="M1011" s="6">
        <f>(M1015*L1011)</f>
        <v>250</v>
      </c>
    </row>
    <row r="1012" spans="1:13" x14ac:dyDescent="0.25">
      <c r="A1012" s="26" t="s">
        <v>131</v>
      </c>
      <c r="B1012" s="9"/>
      <c r="C1012" s="15" t="s">
        <v>130</v>
      </c>
      <c r="D1012" s="5">
        <v>0.03</v>
      </c>
      <c r="E1012" s="6">
        <f>(E1015*D1012)</f>
        <v>33</v>
      </c>
      <c r="I1012" s="26" t="s">
        <v>245</v>
      </c>
      <c r="J1012" s="9"/>
      <c r="K1012" s="15" t="s">
        <v>130</v>
      </c>
      <c r="L1012" s="5">
        <v>0.03</v>
      </c>
      <c r="M1012" s="6">
        <f>(M1015*L1012)</f>
        <v>30</v>
      </c>
    </row>
    <row r="1013" spans="1:13" x14ac:dyDescent="0.25">
      <c r="A1013" s="62" t="s">
        <v>133</v>
      </c>
      <c r="B1013" s="9"/>
      <c r="C1013" s="15" t="s">
        <v>153</v>
      </c>
      <c r="D1013" s="5">
        <v>0.24</v>
      </c>
      <c r="E1013" s="6">
        <f>(E1015*D1013)</f>
        <v>264</v>
      </c>
      <c r="I1013" s="62" t="s">
        <v>133</v>
      </c>
      <c r="J1013" s="9"/>
      <c r="K1013" s="15" t="s">
        <v>117</v>
      </c>
      <c r="L1013" s="5">
        <v>0.23</v>
      </c>
      <c r="M1013" s="6">
        <f>(M1015*L1013)</f>
        <v>230</v>
      </c>
    </row>
    <row r="1014" spans="1:13" x14ac:dyDescent="0.25">
      <c r="A1014" s="63"/>
      <c r="B1014" s="9"/>
      <c r="C1014" s="15" t="s">
        <v>20</v>
      </c>
      <c r="D1014" s="5">
        <v>1E-3</v>
      </c>
      <c r="E1014" s="6">
        <f>(E1015*D1014)</f>
        <v>1.1000000000000001</v>
      </c>
      <c r="I1014" s="63"/>
      <c r="J1014" s="9"/>
      <c r="K1014" s="15" t="s">
        <v>20</v>
      </c>
      <c r="L1014" s="5">
        <v>1E-3</v>
      </c>
      <c r="M1014" s="6">
        <f>(M1015*L1014)</f>
        <v>1</v>
      </c>
    </row>
    <row r="1015" spans="1:13" x14ac:dyDescent="0.25">
      <c r="A1015" s="2"/>
      <c r="B1015" s="12"/>
      <c r="C1015" s="2"/>
      <c r="D1015" s="23">
        <f>SUM(D1000:D1014)</f>
        <v>1</v>
      </c>
      <c r="E1015" s="19">
        <v>1100</v>
      </c>
      <c r="I1015" s="2"/>
      <c r="J1015" s="12"/>
      <c r="K1015" s="2"/>
      <c r="L1015" s="23">
        <f>SUM(L1000:L1014)</f>
        <v>1</v>
      </c>
      <c r="M1015" s="19">
        <v>1000</v>
      </c>
    </row>
    <row r="1016" spans="1:13" x14ac:dyDescent="0.25">
      <c r="E1016" s="24">
        <f>SUM(E1000:E1014)</f>
        <v>1100</v>
      </c>
      <c r="M1016" s="24">
        <f>SUM(M1000:M1014)</f>
        <v>1000</v>
      </c>
    </row>
    <row r="1020" spans="1:13" x14ac:dyDescent="0.25">
      <c r="A1020" s="54" t="s">
        <v>246</v>
      </c>
      <c r="B1020" s="54"/>
      <c r="C1020" s="54"/>
      <c r="D1020" s="54"/>
      <c r="E1020" s="54"/>
      <c r="I1020" s="54" t="s">
        <v>247</v>
      </c>
      <c r="J1020" s="54"/>
      <c r="K1020" s="54"/>
      <c r="L1020" s="54"/>
      <c r="M1020" s="54"/>
    </row>
    <row r="1021" spans="1:13" x14ac:dyDescent="0.25">
      <c r="A1021" s="59" t="s">
        <v>248</v>
      </c>
      <c r="B1021" s="59"/>
      <c r="C1021" s="59"/>
      <c r="D1021" s="59"/>
      <c r="E1021" s="59"/>
      <c r="I1021" s="59" t="s">
        <v>249</v>
      </c>
      <c r="J1021" s="59"/>
      <c r="K1021" s="59"/>
      <c r="L1021" s="59"/>
      <c r="M1021" s="59"/>
    </row>
    <row r="1022" spans="1:13" x14ac:dyDescent="0.25">
      <c r="A1022" s="3" t="s">
        <v>3</v>
      </c>
      <c r="B1022" s="3" t="s">
        <v>97</v>
      </c>
      <c r="D1022" s="3" t="s">
        <v>5</v>
      </c>
      <c r="E1022" s="3" t="s">
        <v>7</v>
      </c>
      <c r="I1022" s="3" t="s">
        <v>3</v>
      </c>
      <c r="J1022" s="3" t="s">
        <v>97</v>
      </c>
      <c r="L1022" s="3" t="s">
        <v>5</v>
      </c>
      <c r="M1022" s="3" t="s">
        <v>7</v>
      </c>
    </row>
    <row r="1023" spans="1:13" ht="15" customHeight="1" x14ac:dyDescent="0.25">
      <c r="A1023" s="60" t="s">
        <v>98</v>
      </c>
      <c r="B1023" s="4"/>
      <c r="C1023" s="3" t="s">
        <v>10</v>
      </c>
      <c r="D1023" s="5">
        <v>0.13619999999999999</v>
      </c>
      <c r="E1023" s="6">
        <f>(E1038*D1023)</f>
        <v>149.82</v>
      </c>
      <c r="I1023" s="60" t="s">
        <v>98</v>
      </c>
      <c r="J1023" s="4"/>
      <c r="K1023" s="3" t="s">
        <v>10</v>
      </c>
      <c r="L1023" s="5">
        <v>0.14180000000000001</v>
      </c>
      <c r="M1023" s="6">
        <f>(M1038*L1023)</f>
        <v>155.98000000000002</v>
      </c>
    </row>
    <row r="1024" spans="1:13" x14ac:dyDescent="0.25">
      <c r="A1024" s="61"/>
      <c r="B1024" s="4"/>
      <c r="C1024" s="3" t="s">
        <v>166</v>
      </c>
      <c r="D1024" s="5">
        <v>0.01</v>
      </c>
      <c r="E1024" s="6">
        <f>(E1038*D1024)</f>
        <v>11</v>
      </c>
      <c r="I1024" s="61"/>
      <c r="J1024" s="4"/>
      <c r="K1024" s="3" t="s">
        <v>232</v>
      </c>
      <c r="L1024" s="5">
        <v>4.0000000000000001E-3</v>
      </c>
      <c r="M1024" s="6">
        <f>(M1038*L1024)</f>
        <v>4.4000000000000004</v>
      </c>
    </row>
    <row r="1025" spans="1:13" x14ac:dyDescent="0.25">
      <c r="A1025" s="61"/>
      <c r="B1025" s="4"/>
      <c r="C1025" s="3" t="s">
        <v>13</v>
      </c>
      <c r="D1025" s="22">
        <v>1.6000000000000001E-3</v>
      </c>
      <c r="E1025" s="6">
        <f>(E1038*D1025)</f>
        <v>1.76</v>
      </c>
      <c r="I1025" s="61"/>
      <c r="J1025" s="4"/>
      <c r="K1025" s="3" t="s">
        <v>166</v>
      </c>
      <c r="L1025" s="5">
        <v>0.01</v>
      </c>
      <c r="M1025" s="6">
        <f>(M1038*L1025)</f>
        <v>11</v>
      </c>
    </row>
    <row r="1026" spans="1:13" x14ac:dyDescent="0.25">
      <c r="A1026" s="61"/>
      <c r="B1026" s="4"/>
      <c r="C1026" s="3" t="s">
        <v>20</v>
      </c>
      <c r="D1026" s="22">
        <v>1E-3</v>
      </c>
      <c r="E1026" s="6">
        <f>(E1038*D1026)</f>
        <v>1.1000000000000001</v>
      </c>
      <c r="I1026" s="61"/>
      <c r="J1026" s="4"/>
      <c r="K1026" s="3" t="s">
        <v>13</v>
      </c>
      <c r="L1026" s="5">
        <v>4.0000000000000001E-3</v>
      </c>
      <c r="M1026" s="6">
        <f>(M1038*L1026)</f>
        <v>4.4000000000000004</v>
      </c>
    </row>
    <row r="1027" spans="1:13" x14ac:dyDescent="0.25">
      <c r="A1027" s="61"/>
      <c r="B1027" s="9"/>
      <c r="C1027" s="3" t="s">
        <v>77</v>
      </c>
      <c r="D1027" s="5">
        <v>1.6999999999999999E-3</v>
      </c>
      <c r="E1027" s="6">
        <f>(E1038*D1027)</f>
        <v>1.8699999999999999</v>
      </c>
      <c r="I1027" s="61"/>
      <c r="J1027" s="4"/>
      <c r="K1027" s="3" t="s">
        <v>20</v>
      </c>
      <c r="L1027" s="5">
        <v>1E-3</v>
      </c>
      <c r="M1027" s="6">
        <f>(M1038*L1027)</f>
        <v>1.1000000000000001</v>
      </c>
    </row>
    <row r="1028" spans="1:13" x14ac:dyDescent="0.25">
      <c r="A1028" s="61"/>
      <c r="B1028" s="9"/>
      <c r="C1028" s="3" t="s">
        <v>51</v>
      </c>
      <c r="D1028" s="5">
        <v>2.5000000000000001E-3</v>
      </c>
      <c r="E1028" s="6">
        <f>(E1038*D1028)</f>
        <v>2.75</v>
      </c>
      <c r="I1028" s="61"/>
      <c r="J1028" s="9"/>
      <c r="K1028" s="3" t="s">
        <v>51</v>
      </c>
      <c r="L1028" s="5">
        <v>2.2000000000000001E-3</v>
      </c>
      <c r="M1028" s="6">
        <f>(M1038*L1028)</f>
        <v>2.42</v>
      </c>
    </row>
    <row r="1029" spans="1:13" x14ac:dyDescent="0.25">
      <c r="A1029" s="61"/>
      <c r="B1029" s="9"/>
      <c r="C1029" s="3" t="s">
        <v>20</v>
      </c>
      <c r="D1029" s="5">
        <v>1E-3</v>
      </c>
      <c r="E1029" s="6">
        <f>(E1038*D1029)</f>
        <v>1.1000000000000001</v>
      </c>
      <c r="I1029" s="61"/>
      <c r="J1029" s="9"/>
      <c r="K1029" s="3" t="s">
        <v>20</v>
      </c>
      <c r="L1029" s="5">
        <v>1E-3</v>
      </c>
      <c r="M1029" s="6">
        <f>(M1038*L1029)</f>
        <v>1.1000000000000001</v>
      </c>
    </row>
    <row r="1030" spans="1:13" x14ac:dyDescent="0.25">
      <c r="A1030" s="16" t="s">
        <v>99</v>
      </c>
      <c r="B1030" s="9"/>
      <c r="C1030" s="3" t="s">
        <v>24</v>
      </c>
      <c r="D1030" s="5">
        <v>0.12</v>
      </c>
      <c r="E1030" s="6">
        <f>(E1038*D1030)</f>
        <v>132</v>
      </c>
      <c r="I1030" s="16" t="s">
        <v>99</v>
      </c>
      <c r="J1030" s="9"/>
      <c r="K1030" s="3" t="s">
        <v>24</v>
      </c>
      <c r="L1030" s="5">
        <v>0.11799999999999999</v>
      </c>
      <c r="M1030" s="6">
        <f>(M1038*L1030)</f>
        <v>129.79999999999998</v>
      </c>
    </row>
    <row r="1031" spans="1:13" x14ac:dyDescent="0.25">
      <c r="A1031" s="16" t="s">
        <v>100</v>
      </c>
      <c r="B1031" s="9"/>
      <c r="C1031" s="3" t="s">
        <v>28</v>
      </c>
      <c r="D1031" s="5">
        <v>0.1</v>
      </c>
      <c r="E1031" s="6">
        <f>(E1038*D1031)</f>
        <v>110</v>
      </c>
      <c r="I1031" s="16" t="s">
        <v>100</v>
      </c>
      <c r="J1031" s="9"/>
      <c r="K1031" s="3" t="s">
        <v>28</v>
      </c>
      <c r="L1031" s="5">
        <v>9.4E-2</v>
      </c>
      <c r="M1031" s="6">
        <f>(M1038*L1031)</f>
        <v>103.4</v>
      </c>
    </row>
    <row r="1032" spans="1:13" x14ac:dyDescent="0.25">
      <c r="A1032" s="16" t="s">
        <v>101</v>
      </c>
      <c r="B1032" s="9"/>
      <c r="C1032" s="3" t="s">
        <v>30</v>
      </c>
      <c r="D1032" s="5">
        <v>0.1</v>
      </c>
      <c r="E1032" s="6">
        <f>(E1038*D1032)</f>
        <v>110</v>
      </c>
      <c r="I1032" s="16" t="s">
        <v>101</v>
      </c>
      <c r="J1032" s="9"/>
      <c r="K1032" s="3" t="s">
        <v>30</v>
      </c>
      <c r="L1032" s="5">
        <v>9.4E-2</v>
      </c>
      <c r="M1032" s="6">
        <f>(M1038*L1032)</f>
        <v>103.4</v>
      </c>
    </row>
    <row r="1033" spans="1:13" x14ac:dyDescent="0.25">
      <c r="A1033" s="16" t="s">
        <v>102</v>
      </c>
      <c r="B1033" s="9"/>
      <c r="C1033" s="15" t="s">
        <v>70</v>
      </c>
      <c r="D1033" s="5">
        <v>0</v>
      </c>
      <c r="E1033" s="6">
        <f>(E1038*D1033)</f>
        <v>0</v>
      </c>
      <c r="I1033" s="16" t="s">
        <v>102</v>
      </c>
      <c r="J1033" s="9"/>
      <c r="K1033" s="15" t="s">
        <v>70</v>
      </c>
      <c r="L1033" s="5">
        <v>5.0000000000000001E-3</v>
      </c>
      <c r="M1033" s="6">
        <f>(M1038*L1033)</f>
        <v>5.5</v>
      </c>
    </row>
    <row r="1034" spans="1:13" ht="27.6" x14ac:dyDescent="0.25">
      <c r="A1034" s="26" t="s">
        <v>103</v>
      </c>
      <c r="B1034" s="9"/>
      <c r="C1034" s="15" t="s">
        <v>124</v>
      </c>
      <c r="D1034" s="5">
        <v>0.25</v>
      </c>
      <c r="E1034" s="6">
        <f>(E1038*D1034)</f>
        <v>275</v>
      </c>
      <c r="I1034" s="26" t="s">
        <v>103</v>
      </c>
      <c r="J1034" s="9"/>
      <c r="K1034" s="15" t="s">
        <v>124</v>
      </c>
      <c r="L1034" s="5">
        <v>0.25</v>
      </c>
      <c r="M1034" s="6">
        <f>(M1038*L1034)</f>
        <v>275</v>
      </c>
    </row>
    <row r="1035" spans="1:13" x14ac:dyDescent="0.25">
      <c r="A1035" s="26" t="s">
        <v>131</v>
      </c>
      <c r="B1035" s="9"/>
      <c r="C1035" s="15" t="s">
        <v>130</v>
      </c>
      <c r="D1035" s="5">
        <v>0.03</v>
      </c>
      <c r="E1035" s="6">
        <f>(E1038*D1035)</f>
        <v>33</v>
      </c>
      <c r="I1035" s="26" t="s">
        <v>131</v>
      </c>
      <c r="J1035" s="9"/>
      <c r="K1035" s="15" t="s">
        <v>130</v>
      </c>
      <c r="L1035" s="5">
        <v>0.03</v>
      </c>
      <c r="M1035" s="6">
        <f>(M1038*L1035)</f>
        <v>33</v>
      </c>
    </row>
    <row r="1036" spans="1:13" ht="15" customHeight="1" x14ac:dyDescent="0.25">
      <c r="A1036" s="62" t="s">
        <v>133</v>
      </c>
      <c r="B1036" s="9"/>
      <c r="C1036" s="15" t="s">
        <v>153</v>
      </c>
      <c r="D1036" s="5">
        <v>0.245</v>
      </c>
      <c r="E1036" s="6">
        <f>(E1038*D1036)</f>
        <v>269.5</v>
      </c>
      <c r="I1036" s="62" t="s">
        <v>133</v>
      </c>
      <c r="J1036" s="9"/>
      <c r="K1036" s="15" t="s">
        <v>153</v>
      </c>
      <c r="L1036" s="5">
        <v>0.24399999999999999</v>
      </c>
      <c r="M1036" s="6">
        <f>(M1038*L1036)</f>
        <v>268.39999999999998</v>
      </c>
    </row>
    <row r="1037" spans="1:13" x14ac:dyDescent="0.25">
      <c r="A1037" s="63"/>
      <c r="B1037" s="9"/>
      <c r="C1037" s="15" t="s">
        <v>20</v>
      </c>
      <c r="D1037" s="5">
        <v>1E-3</v>
      </c>
      <c r="E1037" s="6">
        <f>(E1038*D1037)</f>
        <v>1.1000000000000001</v>
      </c>
      <c r="I1037" s="63"/>
      <c r="J1037" s="9"/>
      <c r="K1037" s="15" t="s">
        <v>20</v>
      </c>
      <c r="L1037" s="5">
        <v>1E-3</v>
      </c>
      <c r="M1037" s="6">
        <f>(M1038*L1037)</f>
        <v>1.1000000000000001</v>
      </c>
    </row>
    <row r="1038" spans="1:13" x14ac:dyDescent="0.25">
      <c r="A1038" s="2"/>
      <c r="B1038" s="12"/>
      <c r="C1038" s="2"/>
      <c r="D1038" s="23">
        <f>SUM(D1023:D1037)</f>
        <v>1</v>
      </c>
      <c r="E1038" s="19">
        <v>1100</v>
      </c>
      <c r="I1038" s="2"/>
      <c r="J1038" s="12"/>
      <c r="K1038" s="2"/>
      <c r="L1038" s="23">
        <f>SUM(L1023:L1037)</f>
        <v>1</v>
      </c>
      <c r="M1038" s="19">
        <v>1100</v>
      </c>
    </row>
    <row r="1039" spans="1:13" x14ac:dyDescent="0.25">
      <c r="E1039" s="24">
        <f>SUM(E1023:E1037)</f>
        <v>1100</v>
      </c>
      <c r="M1039" s="24">
        <f>SUM(M1023:M1037)</f>
        <v>1100</v>
      </c>
    </row>
    <row r="1042" spans="1:13" x14ac:dyDescent="0.25">
      <c r="A1042" s="54" t="s">
        <v>250</v>
      </c>
      <c r="B1042" s="54"/>
      <c r="C1042" s="54"/>
      <c r="D1042" s="54"/>
      <c r="E1042" s="54"/>
      <c r="I1042" s="54" t="s">
        <v>251</v>
      </c>
      <c r="J1042" s="54"/>
      <c r="K1042" s="54"/>
      <c r="L1042" s="54"/>
      <c r="M1042" s="54"/>
    </row>
    <row r="1043" spans="1:13" ht="17.399999999999999" x14ac:dyDescent="0.3">
      <c r="A1043" s="59" t="s">
        <v>252</v>
      </c>
      <c r="B1043" s="59"/>
      <c r="C1043" s="59"/>
      <c r="D1043" s="59"/>
      <c r="E1043" s="59"/>
      <c r="I1043" s="59" t="s">
        <v>253</v>
      </c>
      <c r="J1043" s="59"/>
      <c r="K1043" s="59"/>
      <c r="L1043" s="59"/>
      <c r="M1043" s="59"/>
    </row>
    <row r="1044" spans="1:13" x14ac:dyDescent="0.25">
      <c r="A1044" s="3" t="s">
        <v>3</v>
      </c>
      <c r="B1044" s="3" t="s">
        <v>97</v>
      </c>
      <c r="D1044" s="3" t="s">
        <v>5</v>
      </c>
      <c r="E1044" s="3" t="s">
        <v>7</v>
      </c>
      <c r="I1044" s="3" t="s">
        <v>3</v>
      </c>
      <c r="J1044" s="3" t="s">
        <v>254</v>
      </c>
      <c r="L1044" s="3" t="s">
        <v>5</v>
      </c>
      <c r="M1044" s="3" t="s">
        <v>7</v>
      </c>
    </row>
    <row r="1045" spans="1:13" x14ac:dyDescent="0.25">
      <c r="A1045" s="60" t="s">
        <v>98</v>
      </c>
      <c r="B1045" s="4"/>
      <c r="C1045" s="3" t="s">
        <v>10</v>
      </c>
      <c r="D1045" s="5">
        <v>0.1384</v>
      </c>
      <c r="E1045" s="6">
        <f>(E1060*D1045)</f>
        <v>152.23999999999998</v>
      </c>
      <c r="I1045" s="60" t="s">
        <v>255</v>
      </c>
      <c r="J1045" s="4"/>
      <c r="K1045" s="3" t="s">
        <v>10</v>
      </c>
      <c r="L1045" s="5">
        <v>0.14449999999999999</v>
      </c>
      <c r="M1045" s="6">
        <f>(M1062*L1045)</f>
        <v>158.94999999999999</v>
      </c>
    </row>
    <row r="1046" spans="1:13" ht="15" customHeight="1" x14ac:dyDescent="0.25">
      <c r="A1046" s="61"/>
      <c r="B1046" s="4"/>
      <c r="C1046" s="3" t="s">
        <v>166</v>
      </c>
      <c r="D1046" s="5">
        <v>0.02</v>
      </c>
      <c r="E1046" s="6">
        <f>(E1060*D1046)</f>
        <v>22</v>
      </c>
      <c r="I1046" s="61"/>
      <c r="J1046" s="4"/>
      <c r="K1046" s="3" t="s">
        <v>166</v>
      </c>
      <c r="L1046" s="5">
        <v>0.02</v>
      </c>
      <c r="M1046" s="6">
        <f>(M1062*L1046)</f>
        <v>22</v>
      </c>
    </row>
    <row r="1047" spans="1:13" x14ac:dyDescent="0.25">
      <c r="A1047" s="61"/>
      <c r="B1047" s="4"/>
      <c r="C1047" s="3" t="s">
        <v>13</v>
      </c>
      <c r="D1047" s="22">
        <v>2E-3</v>
      </c>
      <c r="E1047" s="6">
        <f>(E1060*D1047)</f>
        <v>2.2000000000000002</v>
      </c>
      <c r="I1047" s="61"/>
      <c r="J1047" s="4"/>
      <c r="K1047" s="3" t="s">
        <v>13</v>
      </c>
      <c r="L1047" s="22">
        <v>1.6000000000000001E-3</v>
      </c>
      <c r="M1047" s="6">
        <f>(M1062*L1047)</f>
        <v>1.76</v>
      </c>
    </row>
    <row r="1048" spans="1:13" x14ac:dyDescent="0.25">
      <c r="A1048" s="61"/>
      <c r="B1048" s="4"/>
      <c r="C1048" s="3" t="s">
        <v>20</v>
      </c>
      <c r="D1048" s="22">
        <v>1E-3</v>
      </c>
      <c r="E1048" s="6">
        <f>(E1060*D1048)</f>
        <v>1.1000000000000001</v>
      </c>
      <c r="I1048" s="61"/>
      <c r="J1048" s="4"/>
      <c r="K1048" s="3" t="s">
        <v>20</v>
      </c>
      <c r="L1048" s="22">
        <v>1E-3</v>
      </c>
      <c r="M1048" s="6">
        <f>(M1062*L1048)</f>
        <v>1.1000000000000001</v>
      </c>
    </row>
    <row r="1049" spans="1:13" x14ac:dyDescent="0.25">
      <c r="A1049" s="61"/>
      <c r="B1049" s="9"/>
      <c r="C1049" s="3" t="s">
        <v>77</v>
      </c>
      <c r="D1049" s="5">
        <v>1.6999999999999999E-3</v>
      </c>
      <c r="E1049" s="6">
        <f>(E1060*D1049)</f>
        <v>1.8699999999999999</v>
      </c>
      <c r="I1049" s="61"/>
      <c r="J1049" s="9"/>
      <c r="K1049" s="3" t="s">
        <v>77</v>
      </c>
      <c r="L1049" s="5">
        <v>1.6999999999999999E-3</v>
      </c>
      <c r="M1049" s="6">
        <f>(M1062*L1049)</f>
        <v>1.8699999999999999</v>
      </c>
    </row>
    <row r="1050" spans="1:13" x14ac:dyDescent="0.25">
      <c r="A1050" s="61"/>
      <c r="B1050" s="9"/>
      <c r="C1050" s="3" t="s">
        <v>51</v>
      </c>
      <c r="D1050" s="5">
        <v>1.9E-3</v>
      </c>
      <c r="E1050" s="6">
        <f>(E1060*D1050)</f>
        <v>2.09</v>
      </c>
      <c r="I1050" s="61"/>
      <c r="J1050" s="9"/>
      <c r="K1050" s="3" t="s">
        <v>51</v>
      </c>
      <c r="L1050" s="5">
        <v>2.2000000000000001E-3</v>
      </c>
      <c r="M1050" s="6">
        <f>(M1062*L1050)</f>
        <v>2.42</v>
      </c>
    </row>
    <row r="1051" spans="1:13" x14ac:dyDescent="0.25">
      <c r="A1051" s="61"/>
      <c r="B1051" s="9"/>
      <c r="C1051" s="3" t="s">
        <v>20</v>
      </c>
      <c r="D1051" s="5">
        <v>1E-3</v>
      </c>
      <c r="E1051" s="6">
        <f>(E1060*D1051)</f>
        <v>1.1000000000000001</v>
      </c>
      <c r="I1051" s="61"/>
      <c r="J1051" s="9"/>
      <c r="K1051" s="3" t="s">
        <v>20</v>
      </c>
      <c r="L1051" s="5">
        <v>1E-3</v>
      </c>
      <c r="M1051" s="6">
        <f>(M1062*L1051)</f>
        <v>1.1000000000000001</v>
      </c>
    </row>
    <row r="1052" spans="1:13" ht="27.6" x14ac:dyDescent="0.25">
      <c r="A1052" s="30" t="s">
        <v>99</v>
      </c>
      <c r="B1052" s="9"/>
      <c r="C1052" s="3" t="s">
        <v>24</v>
      </c>
      <c r="D1052" s="5">
        <v>0.11700000000000001</v>
      </c>
      <c r="E1052" s="6">
        <f>(E1060*D1052)</f>
        <v>128.70000000000002</v>
      </c>
      <c r="I1052" s="30" t="s">
        <v>256</v>
      </c>
      <c r="J1052" s="9"/>
      <c r="K1052" s="3" t="s">
        <v>24</v>
      </c>
      <c r="L1052" s="5">
        <v>0.11899999999999999</v>
      </c>
      <c r="M1052" s="6">
        <f>(M1062*L1052)</f>
        <v>130.9</v>
      </c>
    </row>
    <row r="1053" spans="1:13" ht="27.6" x14ac:dyDescent="0.25">
      <c r="A1053" s="30" t="s">
        <v>100</v>
      </c>
      <c r="B1053" s="9"/>
      <c r="C1053" s="3" t="s">
        <v>28</v>
      </c>
      <c r="D1053" s="5">
        <v>9.2999999999999999E-2</v>
      </c>
      <c r="E1053" s="6">
        <f>(E1060*D1053)</f>
        <v>102.3</v>
      </c>
      <c r="I1053" s="30" t="s">
        <v>257</v>
      </c>
      <c r="J1053" s="9"/>
      <c r="K1053" s="3" t="s">
        <v>28</v>
      </c>
      <c r="L1053" s="5">
        <v>9.4500000000000001E-2</v>
      </c>
      <c r="M1053" s="6">
        <f>(M1062*L1053)</f>
        <v>103.95</v>
      </c>
    </row>
    <row r="1054" spans="1:13" ht="27.6" x14ac:dyDescent="0.25">
      <c r="A1054" s="30" t="s">
        <v>101</v>
      </c>
      <c r="B1054" s="9"/>
      <c r="C1054" s="3" t="s">
        <v>30</v>
      </c>
      <c r="D1054" s="5">
        <v>9.2999999999999999E-2</v>
      </c>
      <c r="E1054" s="6">
        <f>(E1060*D1054)</f>
        <v>102.3</v>
      </c>
      <c r="I1054" s="30" t="s">
        <v>256</v>
      </c>
      <c r="J1054" s="9"/>
      <c r="K1054" s="3" t="s">
        <v>30</v>
      </c>
      <c r="L1054" s="5">
        <v>9.4500000000000001E-2</v>
      </c>
      <c r="M1054" s="6">
        <f>(M1062*L1054)</f>
        <v>103.95</v>
      </c>
    </row>
    <row r="1055" spans="1:13" x14ac:dyDescent="0.25">
      <c r="A1055" s="30" t="s">
        <v>102</v>
      </c>
      <c r="B1055" s="9"/>
      <c r="C1055" s="15" t="s">
        <v>70</v>
      </c>
      <c r="D1055" s="5">
        <v>5.0000000000000001E-3</v>
      </c>
      <c r="E1055" s="6">
        <f>(E1060*D1055)</f>
        <v>5.5</v>
      </c>
      <c r="I1055" s="30" t="s">
        <v>258</v>
      </c>
      <c r="J1055" s="9"/>
      <c r="K1055" s="15" t="s">
        <v>70</v>
      </c>
      <c r="L1055" s="5">
        <v>5.0000000000000001E-3</v>
      </c>
      <c r="M1055" s="6">
        <f>(M1062*L1055)</f>
        <v>5.5</v>
      </c>
    </row>
    <row r="1056" spans="1:13" ht="27.6" x14ac:dyDescent="0.25">
      <c r="A1056" s="26" t="s">
        <v>103</v>
      </c>
      <c r="B1056" s="9"/>
      <c r="C1056" s="15" t="s">
        <v>124</v>
      </c>
      <c r="D1056" s="5">
        <v>0.247</v>
      </c>
      <c r="E1056" s="6">
        <f>(E1060*D1056)</f>
        <v>271.7</v>
      </c>
      <c r="I1056" s="26" t="s">
        <v>259</v>
      </c>
      <c r="J1056" s="9"/>
      <c r="K1056" s="15" t="s">
        <v>124</v>
      </c>
      <c r="L1056" s="5">
        <v>0.16200000000000001</v>
      </c>
      <c r="M1056" s="6">
        <f>(M1062*L1056)</f>
        <v>178.20000000000002</v>
      </c>
    </row>
    <row r="1057" spans="1:13" x14ac:dyDescent="0.25">
      <c r="A1057" s="26" t="s">
        <v>131</v>
      </c>
      <c r="B1057" s="9"/>
      <c r="C1057" s="15" t="s">
        <v>130</v>
      </c>
      <c r="D1057" s="5">
        <v>3.5000000000000003E-2</v>
      </c>
      <c r="E1057" s="6">
        <f>(E1060*D1057)</f>
        <v>38.500000000000007</v>
      </c>
      <c r="I1057" s="26" t="s">
        <v>260</v>
      </c>
      <c r="J1057" s="9"/>
      <c r="K1057" s="15" t="s">
        <v>153</v>
      </c>
      <c r="L1057" s="5">
        <v>7.0000000000000007E-2</v>
      </c>
      <c r="M1057" s="6">
        <f>(M1062*L1057)</f>
        <v>77.000000000000014</v>
      </c>
    </row>
    <row r="1058" spans="1:13" ht="27.6" x14ac:dyDescent="0.25">
      <c r="A1058" s="62" t="s">
        <v>133</v>
      </c>
      <c r="B1058" s="9"/>
      <c r="C1058" s="15" t="s">
        <v>153</v>
      </c>
      <c r="D1058" s="5">
        <v>0.24299999999999999</v>
      </c>
      <c r="E1058" s="6">
        <f>(E1060*D1058)</f>
        <v>267.3</v>
      </c>
      <c r="I1058" s="26" t="s">
        <v>261</v>
      </c>
      <c r="J1058" s="9"/>
      <c r="K1058" s="15" t="s">
        <v>124</v>
      </c>
      <c r="L1058" s="5">
        <v>8.2000000000000003E-2</v>
      </c>
      <c r="M1058" s="6">
        <f>(M1062*L1058)</f>
        <v>90.2</v>
      </c>
    </row>
    <row r="1059" spans="1:13" ht="27.6" x14ac:dyDescent="0.25">
      <c r="A1059" s="63"/>
      <c r="B1059" s="9"/>
      <c r="C1059" s="15" t="s">
        <v>20</v>
      </c>
      <c r="D1059" s="5">
        <v>1E-3</v>
      </c>
      <c r="E1059" s="6">
        <f>(E1060*D1059)</f>
        <v>1.1000000000000001</v>
      </c>
      <c r="I1059" s="26" t="s">
        <v>262</v>
      </c>
      <c r="J1059" s="9"/>
      <c r="K1059" s="15" t="s">
        <v>130</v>
      </c>
      <c r="L1059" s="5">
        <v>0.03</v>
      </c>
      <c r="M1059" s="6">
        <f>(M1062*L1059)</f>
        <v>33</v>
      </c>
    </row>
    <row r="1060" spans="1:13" x14ac:dyDescent="0.25">
      <c r="A1060" s="2"/>
      <c r="B1060" s="12"/>
      <c r="C1060" s="2"/>
      <c r="D1060" s="23">
        <f>SUM(D1045:D1059)</f>
        <v>1</v>
      </c>
      <c r="E1060" s="19">
        <v>1100</v>
      </c>
      <c r="I1060" s="62" t="s">
        <v>133</v>
      </c>
      <c r="J1060" s="9"/>
      <c r="K1060" s="15" t="s">
        <v>153</v>
      </c>
      <c r="L1060" s="5">
        <v>0.17</v>
      </c>
      <c r="M1060" s="6">
        <f>(M1062*L1060)</f>
        <v>187</v>
      </c>
    </row>
    <row r="1061" spans="1:13" x14ac:dyDescent="0.25">
      <c r="E1061" s="24">
        <f>SUM(E1045:E1059)</f>
        <v>1099.9999999999998</v>
      </c>
      <c r="I1061" s="63"/>
      <c r="J1061" s="9"/>
      <c r="K1061" s="15" t="s">
        <v>20</v>
      </c>
      <c r="L1061" s="5">
        <v>1E-3</v>
      </c>
      <c r="M1061" s="6">
        <f>(M1062*L1061)</f>
        <v>1.1000000000000001</v>
      </c>
    </row>
    <row r="1062" spans="1:13" x14ac:dyDescent="0.25">
      <c r="I1062" s="2"/>
      <c r="J1062" s="12"/>
      <c r="K1062" s="2"/>
      <c r="L1062" s="23">
        <f>SUM(L1045:L1061)</f>
        <v>1</v>
      </c>
      <c r="M1062" s="19">
        <v>1100</v>
      </c>
    </row>
    <row r="1063" spans="1:13" x14ac:dyDescent="0.25">
      <c r="M1063" s="24">
        <f>SUM(M1045:M1061)</f>
        <v>1100</v>
      </c>
    </row>
    <row r="1066" spans="1:13" x14ac:dyDescent="0.25">
      <c r="A1066" s="54" t="s">
        <v>263</v>
      </c>
      <c r="B1066" s="54"/>
      <c r="C1066" s="54"/>
      <c r="D1066" s="54"/>
      <c r="E1066" s="54"/>
      <c r="I1066" s="54" t="s">
        <v>264</v>
      </c>
      <c r="J1066" s="54"/>
      <c r="K1066" s="54"/>
      <c r="L1066" s="54"/>
      <c r="M1066" s="54"/>
    </row>
    <row r="1067" spans="1:13" ht="17.399999999999999" x14ac:dyDescent="0.3">
      <c r="A1067" s="59" t="s">
        <v>265</v>
      </c>
      <c r="B1067" s="59"/>
      <c r="C1067" s="59"/>
      <c r="D1067" s="59"/>
      <c r="E1067" s="59"/>
      <c r="I1067" s="59" t="s">
        <v>266</v>
      </c>
      <c r="J1067" s="59"/>
      <c r="K1067" s="59"/>
      <c r="L1067" s="59"/>
      <c r="M1067" s="59"/>
    </row>
    <row r="1068" spans="1:13" x14ac:dyDescent="0.25">
      <c r="A1068" s="3" t="s">
        <v>3</v>
      </c>
      <c r="B1068" s="3" t="s">
        <v>254</v>
      </c>
      <c r="D1068" s="3" t="s">
        <v>5</v>
      </c>
      <c r="E1068" s="3" t="s">
        <v>7</v>
      </c>
      <c r="I1068" s="3" t="s">
        <v>3</v>
      </c>
      <c r="J1068" s="3" t="s">
        <v>97</v>
      </c>
      <c r="L1068" s="3" t="s">
        <v>5</v>
      </c>
      <c r="M1068" s="3" t="s">
        <v>7</v>
      </c>
    </row>
    <row r="1069" spans="1:13" x14ac:dyDescent="0.25">
      <c r="A1069" s="60" t="s">
        <v>255</v>
      </c>
      <c r="B1069" s="4"/>
      <c r="C1069" s="3" t="s">
        <v>10</v>
      </c>
      <c r="D1069" s="5">
        <v>0.14649999999999999</v>
      </c>
      <c r="E1069" s="6">
        <f>(E1086*D1069)</f>
        <v>146.5</v>
      </c>
      <c r="I1069" s="60" t="s">
        <v>98</v>
      </c>
      <c r="J1069" s="4"/>
      <c r="K1069" s="3" t="s">
        <v>10</v>
      </c>
      <c r="L1069" s="5">
        <v>0.14960000000000001</v>
      </c>
      <c r="M1069" s="6">
        <f>(M1086*L1069)</f>
        <v>149.60000000000002</v>
      </c>
    </row>
    <row r="1070" spans="1:13" ht="15" customHeight="1" x14ac:dyDescent="0.25">
      <c r="A1070" s="61"/>
      <c r="B1070" s="4"/>
      <c r="C1070" s="3" t="s">
        <v>166</v>
      </c>
      <c r="D1070" s="5">
        <v>0.02</v>
      </c>
      <c r="E1070" s="6">
        <f>(E1086*D1070)</f>
        <v>20</v>
      </c>
      <c r="I1070" s="61"/>
      <c r="J1070" s="4"/>
      <c r="K1070" s="3" t="s">
        <v>232</v>
      </c>
      <c r="L1070" s="5">
        <v>4.0000000000000001E-3</v>
      </c>
      <c r="M1070" s="6">
        <f>(M1086*L1070)</f>
        <v>4</v>
      </c>
    </row>
    <row r="1071" spans="1:13" x14ac:dyDescent="0.25">
      <c r="A1071" s="61"/>
      <c r="B1071" s="4"/>
      <c r="C1071" s="3" t="s">
        <v>13</v>
      </c>
      <c r="D1071" s="22">
        <v>1.6000000000000001E-3</v>
      </c>
      <c r="E1071" s="6">
        <f>(E1086*D1071)</f>
        <v>1.6</v>
      </c>
      <c r="I1071" s="61"/>
      <c r="J1071" s="4"/>
      <c r="K1071" s="3" t="s">
        <v>166</v>
      </c>
      <c r="L1071" s="5">
        <v>0.01</v>
      </c>
      <c r="M1071" s="6">
        <f>(M1086*L1071)</f>
        <v>10</v>
      </c>
    </row>
    <row r="1072" spans="1:13" x14ac:dyDescent="0.25">
      <c r="A1072" s="61"/>
      <c r="B1072" s="4"/>
      <c r="C1072" s="3" t="s">
        <v>20</v>
      </c>
      <c r="D1072" s="22">
        <v>1E-3</v>
      </c>
      <c r="E1072" s="6">
        <f>(E1086*D1072)</f>
        <v>1</v>
      </c>
      <c r="I1072" s="61"/>
      <c r="J1072" s="4"/>
      <c r="K1072" s="3" t="s">
        <v>13</v>
      </c>
      <c r="L1072" s="5">
        <v>4.0000000000000001E-3</v>
      </c>
      <c r="M1072" s="6">
        <f>(M1086*L1072)</f>
        <v>4</v>
      </c>
    </row>
    <row r="1073" spans="1:13" x14ac:dyDescent="0.25">
      <c r="A1073" s="61"/>
      <c r="B1073" s="9"/>
      <c r="C1073" s="3" t="s">
        <v>77</v>
      </c>
      <c r="D1073" s="5">
        <v>1.6999999999999999E-3</v>
      </c>
      <c r="E1073" s="6">
        <f>(E1086*D1073)</f>
        <v>1.7</v>
      </c>
      <c r="I1073" s="61"/>
      <c r="J1073" s="4"/>
      <c r="K1073" s="3" t="s">
        <v>20</v>
      </c>
      <c r="L1073" s="5">
        <v>1E-3</v>
      </c>
      <c r="M1073" s="6">
        <f>(M1086*L1073)</f>
        <v>1</v>
      </c>
    </row>
    <row r="1074" spans="1:13" x14ac:dyDescent="0.25">
      <c r="A1074" s="61"/>
      <c r="B1074" s="9"/>
      <c r="C1074" s="3" t="s">
        <v>51</v>
      </c>
      <c r="D1074" s="5">
        <v>2.2000000000000001E-3</v>
      </c>
      <c r="E1074" s="6">
        <f>(E1086*D1074)</f>
        <v>2.2000000000000002</v>
      </c>
      <c r="I1074" s="61"/>
      <c r="J1074" s="9"/>
      <c r="K1074" s="3" t="s">
        <v>267</v>
      </c>
      <c r="L1074" s="5">
        <v>1.4E-3</v>
      </c>
      <c r="M1074" s="6">
        <f>(M1086*L1074)</f>
        <v>1.4</v>
      </c>
    </row>
    <row r="1075" spans="1:13" x14ac:dyDescent="0.25">
      <c r="A1075" s="61"/>
      <c r="B1075" s="9"/>
      <c r="C1075" s="3" t="s">
        <v>20</v>
      </c>
      <c r="D1075" s="5">
        <v>1E-3</v>
      </c>
      <c r="E1075" s="6">
        <f>(E1086*D1075)</f>
        <v>1</v>
      </c>
      <c r="I1075" s="61"/>
      <c r="J1075" s="9"/>
      <c r="K1075" s="3" t="s">
        <v>20</v>
      </c>
      <c r="L1075" s="5">
        <v>1E-3</v>
      </c>
      <c r="M1075" s="6">
        <f>(M1086*L1075)</f>
        <v>1</v>
      </c>
    </row>
    <row r="1076" spans="1:13" x14ac:dyDescent="0.25">
      <c r="A1076" s="30" t="s">
        <v>256</v>
      </c>
      <c r="B1076" s="9"/>
      <c r="C1076" s="3" t="s">
        <v>24</v>
      </c>
      <c r="D1076" s="5">
        <v>0.11899999999999999</v>
      </c>
      <c r="E1076" s="6">
        <f>(E1086*D1076)</f>
        <v>119</v>
      </c>
      <c r="I1076" s="16" t="s">
        <v>99</v>
      </c>
      <c r="J1076" s="9"/>
      <c r="K1076" s="3" t="s">
        <v>24</v>
      </c>
      <c r="L1076" s="5">
        <v>0.12</v>
      </c>
      <c r="M1076" s="6">
        <f>(M1086*L1076)</f>
        <v>120</v>
      </c>
    </row>
    <row r="1077" spans="1:13" x14ac:dyDescent="0.25">
      <c r="A1077" s="30" t="s">
        <v>257</v>
      </c>
      <c r="B1077" s="9"/>
      <c r="C1077" s="3" t="s">
        <v>28</v>
      </c>
      <c r="D1077" s="5">
        <v>9.2499999999999999E-2</v>
      </c>
      <c r="E1077" s="6">
        <f>(E1086*D1077)</f>
        <v>92.5</v>
      </c>
      <c r="I1077" s="16" t="s">
        <v>100</v>
      </c>
      <c r="J1077" s="9"/>
      <c r="K1077" s="3" t="s">
        <v>28</v>
      </c>
      <c r="L1077" s="5">
        <v>9.2499999999999999E-2</v>
      </c>
      <c r="M1077" s="6">
        <f>(M1086*L1077)</f>
        <v>92.5</v>
      </c>
    </row>
    <row r="1078" spans="1:13" x14ac:dyDescent="0.25">
      <c r="A1078" s="30" t="s">
        <v>256</v>
      </c>
      <c r="B1078" s="9"/>
      <c r="C1078" s="3" t="s">
        <v>30</v>
      </c>
      <c r="D1078" s="5">
        <v>9.4500000000000001E-2</v>
      </c>
      <c r="E1078" s="6">
        <f>(E1086*D1078)</f>
        <v>94.5</v>
      </c>
      <c r="I1078" s="16" t="s">
        <v>101</v>
      </c>
      <c r="J1078" s="9"/>
      <c r="K1078" s="3" t="s">
        <v>30</v>
      </c>
      <c r="L1078" s="5">
        <v>9.2499999999999999E-2</v>
      </c>
      <c r="M1078" s="6">
        <f>(M1086*L1078)</f>
        <v>92.5</v>
      </c>
    </row>
    <row r="1079" spans="1:13" x14ac:dyDescent="0.25">
      <c r="A1079" s="30" t="s">
        <v>258</v>
      </c>
      <c r="B1079" s="9"/>
      <c r="C1079" s="15" t="s">
        <v>70</v>
      </c>
      <c r="D1079" s="5">
        <v>5.0000000000000001E-3</v>
      </c>
      <c r="E1079" s="6">
        <f>(E1086*D1079)</f>
        <v>5</v>
      </c>
      <c r="I1079" s="16" t="s">
        <v>102</v>
      </c>
      <c r="J1079" s="9"/>
      <c r="K1079" s="15" t="s">
        <v>70</v>
      </c>
      <c r="L1079" s="5">
        <v>1.2999999999999999E-2</v>
      </c>
      <c r="M1079" s="6">
        <f>(M1086*L1079)</f>
        <v>13</v>
      </c>
    </row>
    <row r="1080" spans="1:13" x14ac:dyDescent="0.25">
      <c r="A1080" s="31" t="s">
        <v>259</v>
      </c>
      <c r="B1080" s="9"/>
      <c r="C1080" s="15" t="s">
        <v>124</v>
      </c>
      <c r="D1080" s="5">
        <v>0.16200000000000001</v>
      </c>
      <c r="E1080" s="6">
        <f>(E1086*D1080)</f>
        <v>162</v>
      </c>
      <c r="I1080" s="26" t="s">
        <v>268</v>
      </c>
      <c r="J1080" s="9"/>
      <c r="K1080" s="15" t="s">
        <v>124</v>
      </c>
      <c r="L1080" s="5">
        <v>0.15</v>
      </c>
      <c r="M1080" s="6">
        <f>(M1086*L1080)</f>
        <v>150</v>
      </c>
    </row>
    <row r="1081" spans="1:13" x14ac:dyDescent="0.25">
      <c r="A1081" s="26" t="s">
        <v>271</v>
      </c>
      <c r="B1081" s="9"/>
      <c r="C1081" s="15" t="s">
        <v>153</v>
      </c>
      <c r="D1081" s="5">
        <v>0.12</v>
      </c>
      <c r="E1081" s="6">
        <f>(E1086*D1081)</f>
        <v>120</v>
      </c>
      <c r="I1081" s="26" t="s">
        <v>269</v>
      </c>
      <c r="J1081" s="9"/>
      <c r="K1081" s="15" t="s">
        <v>117</v>
      </c>
      <c r="L1081" s="5">
        <v>0.1</v>
      </c>
      <c r="M1081" s="6">
        <f>(M1086*L1081)</f>
        <v>100</v>
      </c>
    </row>
    <row r="1082" spans="1:13" ht="27.6" x14ac:dyDescent="0.25">
      <c r="A1082" s="31" t="s">
        <v>261</v>
      </c>
      <c r="B1082" s="9"/>
      <c r="C1082" s="15" t="s">
        <v>124</v>
      </c>
      <c r="D1082" s="5">
        <v>8.2000000000000003E-2</v>
      </c>
      <c r="E1082" s="6">
        <f>(E1086*D1082)</f>
        <v>82</v>
      </c>
      <c r="I1082" s="26" t="s">
        <v>270</v>
      </c>
      <c r="J1082" s="9"/>
      <c r="K1082" s="15" t="s">
        <v>124</v>
      </c>
      <c r="L1082" s="5">
        <v>0.1</v>
      </c>
      <c r="M1082" s="6">
        <f>(M1086*L1082)</f>
        <v>100</v>
      </c>
    </row>
    <row r="1083" spans="1:13" ht="27.6" x14ac:dyDescent="0.25">
      <c r="A1083" s="26" t="s">
        <v>262</v>
      </c>
      <c r="B1083" s="9"/>
      <c r="C1083" s="15" t="s">
        <v>130</v>
      </c>
      <c r="D1083" s="5">
        <v>0.03</v>
      </c>
      <c r="E1083" s="6">
        <f>(E1086*D1083)</f>
        <v>30</v>
      </c>
      <c r="I1083" s="26" t="s">
        <v>131</v>
      </c>
      <c r="J1083" s="9"/>
      <c r="K1083" s="15" t="s">
        <v>130</v>
      </c>
      <c r="L1083" s="5">
        <v>0.03</v>
      </c>
      <c r="M1083" s="6">
        <f>(M1086*L1083)</f>
        <v>30</v>
      </c>
    </row>
    <row r="1084" spans="1:13" x14ac:dyDescent="0.25">
      <c r="A1084" s="62" t="s">
        <v>272</v>
      </c>
      <c r="B1084" s="9"/>
      <c r="C1084" s="15" t="s">
        <v>153</v>
      </c>
      <c r="D1084" s="5">
        <v>0.12</v>
      </c>
      <c r="E1084" s="6">
        <f>(E1086*D1084)</f>
        <v>120</v>
      </c>
      <c r="I1084" s="62" t="s">
        <v>133</v>
      </c>
      <c r="J1084" s="9"/>
      <c r="K1084" s="15" t="s">
        <v>117</v>
      </c>
      <c r="L1084" s="5">
        <v>0.13</v>
      </c>
      <c r="M1084" s="6">
        <f>(M1086*L1084)</f>
        <v>130</v>
      </c>
    </row>
    <row r="1085" spans="1:13" x14ac:dyDescent="0.25">
      <c r="A1085" s="63"/>
      <c r="B1085" s="9"/>
      <c r="C1085" s="15" t="s">
        <v>20</v>
      </c>
      <c r="D1085" s="5">
        <v>1E-3</v>
      </c>
      <c r="E1085" s="6">
        <f>(E1086*D1085)</f>
        <v>1</v>
      </c>
      <c r="I1085" s="63"/>
      <c r="J1085" s="9"/>
      <c r="K1085" s="15" t="s">
        <v>20</v>
      </c>
      <c r="L1085" s="5">
        <v>1E-3</v>
      </c>
      <c r="M1085" s="6">
        <f>(M1086*L1085)</f>
        <v>1</v>
      </c>
    </row>
    <row r="1086" spans="1:13" x14ac:dyDescent="0.25">
      <c r="A1086" s="2"/>
      <c r="B1086" s="12"/>
      <c r="C1086" s="2"/>
      <c r="D1086" s="23">
        <f>SUM(D1069:D1085)</f>
        <v>1</v>
      </c>
      <c r="E1086" s="19">
        <v>1000</v>
      </c>
      <c r="I1086" s="2"/>
      <c r="J1086" s="12"/>
      <c r="K1086" s="2"/>
      <c r="L1086" s="23">
        <f>SUM(L1069:L1085)</f>
        <v>1</v>
      </c>
      <c r="M1086" s="19">
        <v>1000</v>
      </c>
    </row>
    <row r="1087" spans="1:13" ht="15" customHeight="1" x14ac:dyDescent="0.25">
      <c r="E1087" s="24">
        <f>SUM(E1069:E1085)</f>
        <v>1000</v>
      </c>
      <c r="M1087" s="24">
        <f>SUM(M1069:M1085)</f>
        <v>1000</v>
      </c>
    </row>
    <row r="1088" spans="1:13" x14ac:dyDescent="0.25">
      <c r="E1088" s="24"/>
    </row>
    <row r="1091" spans="1:13" x14ac:dyDescent="0.25">
      <c r="A1091" s="54" t="s">
        <v>273</v>
      </c>
      <c r="B1091" s="54"/>
      <c r="C1091" s="54"/>
      <c r="D1091" s="54"/>
      <c r="E1091" s="54"/>
    </row>
    <row r="1092" spans="1:13" x14ac:dyDescent="0.25">
      <c r="A1092" s="59" t="s">
        <v>275</v>
      </c>
      <c r="B1092" s="59"/>
      <c r="C1092" s="59"/>
      <c r="D1092" s="59"/>
      <c r="E1092" s="59"/>
    </row>
    <row r="1093" spans="1:13" x14ac:dyDescent="0.25">
      <c r="A1093" s="3" t="s">
        <v>3</v>
      </c>
      <c r="B1093" s="3" t="s">
        <v>97</v>
      </c>
      <c r="D1093" s="3" t="s">
        <v>5</v>
      </c>
      <c r="E1093" s="3" t="s">
        <v>7</v>
      </c>
      <c r="I1093" s="54" t="s">
        <v>274</v>
      </c>
      <c r="J1093" s="54"/>
      <c r="K1093" s="54"/>
      <c r="L1093" s="54"/>
      <c r="M1093" s="54"/>
    </row>
    <row r="1094" spans="1:13" x14ac:dyDescent="0.25">
      <c r="A1094" s="60" t="s">
        <v>98</v>
      </c>
      <c r="B1094" s="4"/>
      <c r="C1094" s="3" t="s">
        <v>10</v>
      </c>
      <c r="D1094" s="5">
        <v>0.14910000000000001</v>
      </c>
      <c r="E1094" s="6">
        <f>(E1109*D1094)</f>
        <v>149.10000000000002</v>
      </c>
      <c r="I1094" s="59" t="s">
        <v>276</v>
      </c>
      <c r="J1094" s="59"/>
      <c r="K1094" s="59"/>
      <c r="L1094" s="59"/>
      <c r="M1094" s="59"/>
    </row>
    <row r="1095" spans="1:13" x14ac:dyDescent="0.25">
      <c r="A1095" s="61"/>
      <c r="B1095" s="4"/>
      <c r="C1095" s="3" t="s">
        <v>232</v>
      </c>
      <c r="D1095" s="5">
        <v>4.0000000000000001E-3</v>
      </c>
      <c r="E1095" s="6">
        <f>(E1109*D1095)</f>
        <v>4</v>
      </c>
      <c r="I1095" s="3" t="s">
        <v>3</v>
      </c>
      <c r="J1095" s="3" t="s">
        <v>97</v>
      </c>
      <c r="L1095" s="3" t="s">
        <v>5</v>
      </c>
      <c r="M1095" s="3" t="s">
        <v>7</v>
      </c>
    </row>
    <row r="1096" spans="1:13" x14ac:dyDescent="0.25">
      <c r="A1096" s="61"/>
      <c r="B1096" s="4"/>
      <c r="C1096" s="3" t="s">
        <v>166</v>
      </c>
      <c r="D1096" s="5">
        <v>0.01</v>
      </c>
      <c r="E1096" s="6">
        <f>(E1109*D1096)</f>
        <v>10</v>
      </c>
      <c r="I1096" s="60" t="s">
        <v>98</v>
      </c>
      <c r="J1096" s="4"/>
      <c r="K1096" s="3" t="s">
        <v>10</v>
      </c>
      <c r="L1096" s="5">
        <v>0.13020000000000001</v>
      </c>
      <c r="M1096" s="6">
        <f>(M1111*L1096)</f>
        <v>130.20000000000002</v>
      </c>
    </row>
    <row r="1097" spans="1:13" x14ac:dyDescent="0.25">
      <c r="A1097" s="61"/>
      <c r="B1097" s="4"/>
      <c r="C1097" s="3" t="s">
        <v>13</v>
      </c>
      <c r="D1097" s="5">
        <v>4.0000000000000001E-3</v>
      </c>
      <c r="E1097" s="6">
        <f>(E1109*D1097)</f>
        <v>4</v>
      </c>
      <c r="I1097" s="61"/>
      <c r="J1097" s="4"/>
      <c r="K1097" s="3" t="s">
        <v>232</v>
      </c>
      <c r="L1097" s="5">
        <v>2E-3</v>
      </c>
      <c r="M1097" s="6">
        <f>(M1111*L1097)</f>
        <v>2</v>
      </c>
    </row>
    <row r="1098" spans="1:13" x14ac:dyDescent="0.25">
      <c r="A1098" s="61"/>
      <c r="B1098" s="4"/>
      <c r="C1098" s="3" t="s">
        <v>20</v>
      </c>
      <c r="D1098" s="5">
        <v>1E-3</v>
      </c>
      <c r="E1098" s="6">
        <f>(E1109*D1098)</f>
        <v>1</v>
      </c>
      <c r="I1098" s="61"/>
      <c r="J1098" s="4"/>
      <c r="K1098" s="3" t="s">
        <v>166</v>
      </c>
      <c r="L1098" s="5">
        <v>0.03</v>
      </c>
      <c r="M1098" s="6">
        <f>(M1111*L1098)</f>
        <v>30</v>
      </c>
    </row>
    <row r="1099" spans="1:13" x14ac:dyDescent="0.25">
      <c r="A1099" s="61"/>
      <c r="B1099" s="9"/>
      <c r="C1099" s="3" t="s">
        <v>51</v>
      </c>
      <c r="D1099" s="5">
        <v>1.6000000000000001E-3</v>
      </c>
      <c r="E1099" s="6">
        <f>(E1109*D1099)</f>
        <v>1.6</v>
      </c>
      <c r="I1099" s="61"/>
      <c r="J1099" s="4"/>
      <c r="K1099" s="3" t="s">
        <v>13</v>
      </c>
      <c r="L1099" s="5">
        <v>1.6000000000000001E-3</v>
      </c>
      <c r="M1099" s="6">
        <f>(M1111*L1099)</f>
        <v>1.6</v>
      </c>
    </row>
    <row r="1100" spans="1:13" x14ac:dyDescent="0.25">
      <c r="A1100" s="61"/>
      <c r="B1100" s="9"/>
      <c r="C1100" s="3" t="s">
        <v>20</v>
      </c>
      <c r="D1100" s="5">
        <v>1.1999999999999999E-3</v>
      </c>
      <c r="E1100" s="6">
        <f>(E1109*D1100)</f>
        <v>1.2</v>
      </c>
      <c r="I1100" s="61"/>
      <c r="J1100" s="4"/>
      <c r="K1100" s="3" t="s">
        <v>277</v>
      </c>
      <c r="L1100" s="5">
        <v>1E-3</v>
      </c>
      <c r="M1100" s="6">
        <f>(M1111*L1100)</f>
        <v>1</v>
      </c>
    </row>
    <row r="1101" spans="1:13" x14ac:dyDescent="0.25">
      <c r="A1101" s="16" t="s">
        <v>99</v>
      </c>
      <c r="B1101" s="9"/>
      <c r="C1101" s="3" t="s">
        <v>24</v>
      </c>
      <c r="D1101" s="5">
        <v>0.12</v>
      </c>
      <c r="E1101" s="6">
        <f>(E1109*D1101)</f>
        <v>120</v>
      </c>
      <c r="I1101" s="61"/>
      <c r="J1101" s="9"/>
      <c r="K1101" s="3" t="s">
        <v>51</v>
      </c>
      <c r="L1101" s="5">
        <v>2.2000000000000001E-3</v>
      </c>
      <c r="M1101" s="6">
        <f>(M1111*L1101)</f>
        <v>2.2000000000000002</v>
      </c>
    </row>
    <row r="1102" spans="1:13" x14ac:dyDescent="0.25">
      <c r="A1102" s="16" t="s">
        <v>100</v>
      </c>
      <c r="B1102" s="9"/>
      <c r="C1102" s="3" t="s">
        <v>28</v>
      </c>
      <c r="D1102" s="5">
        <v>9.2499999999999999E-2</v>
      </c>
      <c r="E1102" s="6">
        <f>(E1109*D1102)</f>
        <v>92.5</v>
      </c>
      <c r="I1102" s="61"/>
      <c r="J1102" s="9"/>
      <c r="K1102" s="3" t="s">
        <v>277</v>
      </c>
      <c r="L1102" s="5">
        <v>1.1999999999999999E-3</v>
      </c>
      <c r="M1102" s="6">
        <f>(M1111*L1102)</f>
        <v>1.2</v>
      </c>
    </row>
    <row r="1103" spans="1:13" x14ac:dyDescent="0.25">
      <c r="A1103" s="16" t="s">
        <v>278</v>
      </c>
      <c r="B1103" s="9"/>
      <c r="C1103" s="3" t="s">
        <v>30</v>
      </c>
      <c r="D1103" s="5">
        <v>9.2499999999999999E-2</v>
      </c>
      <c r="E1103" s="6">
        <f>(E1109*D1103)</f>
        <v>92.5</v>
      </c>
      <c r="I1103" s="16" t="s">
        <v>99</v>
      </c>
      <c r="J1103" s="9"/>
      <c r="K1103" s="3" t="s">
        <v>24</v>
      </c>
      <c r="L1103" s="5">
        <v>0.11700000000000001</v>
      </c>
      <c r="M1103" s="6">
        <f>(M1111*L1103)</f>
        <v>117</v>
      </c>
    </row>
    <row r="1104" spans="1:13" x14ac:dyDescent="0.25">
      <c r="A1104" s="16" t="s">
        <v>102</v>
      </c>
      <c r="B1104" s="9"/>
      <c r="C1104" s="15" t="s">
        <v>70</v>
      </c>
      <c r="D1104" s="5">
        <v>1.2999999999999999E-2</v>
      </c>
      <c r="E1104" s="6">
        <f>(E1109*D1104)</f>
        <v>13</v>
      </c>
      <c r="I1104" s="16" t="s">
        <v>100</v>
      </c>
      <c r="J1104" s="9"/>
      <c r="K1104" s="3" t="s">
        <v>28</v>
      </c>
      <c r="L1104" s="5">
        <v>9.7299999999999998E-2</v>
      </c>
      <c r="M1104" s="6">
        <f>(M1111*L1104)</f>
        <v>97.3</v>
      </c>
    </row>
    <row r="1105" spans="1:13" ht="27.6" x14ac:dyDescent="0.25">
      <c r="A1105" s="26" t="s">
        <v>103</v>
      </c>
      <c r="B1105" s="9"/>
      <c r="C1105" s="15" t="s">
        <v>124</v>
      </c>
      <c r="D1105" s="5">
        <v>0.25</v>
      </c>
      <c r="E1105" s="6">
        <f>(E1109*D1105)</f>
        <v>250</v>
      </c>
      <c r="I1105" s="16" t="s">
        <v>101</v>
      </c>
      <c r="J1105" s="9"/>
      <c r="K1105" s="3" t="s">
        <v>30</v>
      </c>
      <c r="L1105" s="5">
        <v>9.7299999999999998E-2</v>
      </c>
      <c r="M1105" s="6">
        <f>(M1111*L1105)</f>
        <v>97.3</v>
      </c>
    </row>
    <row r="1106" spans="1:13" x14ac:dyDescent="0.25">
      <c r="A1106" s="26" t="s">
        <v>131</v>
      </c>
      <c r="B1106" s="9"/>
      <c r="C1106" s="15" t="s">
        <v>130</v>
      </c>
      <c r="D1106" s="5">
        <v>0.03</v>
      </c>
      <c r="E1106" s="6">
        <f>(E1109*D1106)</f>
        <v>30</v>
      </c>
      <c r="I1106" s="16" t="s">
        <v>102</v>
      </c>
      <c r="J1106" s="9"/>
      <c r="K1106" s="15" t="s">
        <v>70</v>
      </c>
      <c r="L1106" s="5">
        <v>5.0000000000000001E-3</v>
      </c>
      <c r="M1106" s="6">
        <f>(M1111*L1106)</f>
        <v>5</v>
      </c>
    </row>
    <row r="1107" spans="1:13" ht="27.6" x14ac:dyDescent="0.25">
      <c r="A1107" s="62" t="s">
        <v>133</v>
      </c>
      <c r="B1107" s="9"/>
      <c r="C1107" s="15" t="s">
        <v>117</v>
      </c>
      <c r="D1107" s="5">
        <v>0.23</v>
      </c>
      <c r="E1107" s="6">
        <f>(E1109*D1107)</f>
        <v>230</v>
      </c>
      <c r="I1107" s="26" t="s">
        <v>103</v>
      </c>
      <c r="J1107" s="9"/>
      <c r="K1107" s="15" t="s">
        <v>124</v>
      </c>
      <c r="L1107" s="5">
        <v>0.24399999999999999</v>
      </c>
      <c r="M1107" s="6">
        <f>(M1111*L1107)</f>
        <v>244</v>
      </c>
    </row>
    <row r="1108" spans="1:13" x14ac:dyDescent="0.25">
      <c r="A1108" s="63"/>
      <c r="B1108" s="9"/>
      <c r="C1108" s="15" t="s">
        <v>20</v>
      </c>
      <c r="D1108" s="5">
        <v>1.1000000000000001E-3</v>
      </c>
      <c r="E1108" s="6">
        <f>(E1109*D1108)</f>
        <v>1.1000000000000001</v>
      </c>
      <c r="I1108" s="26" t="s">
        <v>131</v>
      </c>
      <c r="J1108" s="9"/>
      <c r="K1108" s="15" t="s">
        <v>130</v>
      </c>
      <c r="L1108" s="5">
        <v>0.03</v>
      </c>
      <c r="M1108" s="6">
        <f>(M1111*L1108)</f>
        <v>30</v>
      </c>
    </row>
    <row r="1109" spans="1:13" x14ac:dyDescent="0.25">
      <c r="A1109" s="2"/>
      <c r="B1109" s="12"/>
      <c r="C1109" s="2"/>
      <c r="D1109" s="23">
        <f>SUM(D1094:D1108)</f>
        <v>1.0000000000000002</v>
      </c>
      <c r="E1109" s="19">
        <v>1000</v>
      </c>
      <c r="I1109" s="62" t="s">
        <v>133</v>
      </c>
      <c r="J1109" s="9"/>
      <c r="K1109" s="15" t="s">
        <v>153</v>
      </c>
      <c r="L1109" s="5">
        <v>0.24</v>
      </c>
      <c r="M1109" s="6">
        <f>(M1111*L1109)</f>
        <v>240</v>
      </c>
    </row>
    <row r="1110" spans="1:13" x14ac:dyDescent="0.25">
      <c r="E1110" s="24">
        <f>SUM(E1094:E1108)</f>
        <v>1000</v>
      </c>
      <c r="I1110" s="63"/>
      <c r="J1110" s="9"/>
      <c r="K1110" s="15" t="s">
        <v>277</v>
      </c>
      <c r="L1110" s="5">
        <v>1.1999999999999999E-3</v>
      </c>
      <c r="M1110" s="6">
        <f>(M1111*L1110)</f>
        <v>1.2</v>
      </c>
    </row>
    <row r="1111" spans="1:13" x14ac:dyDescent="0.25">
      <c r="I1111" s="2"/>
      <c r="J1111" s="12"/>
      <c r="K1111" s="2"/>
      <c r="L1111" s="23">
        <f>SUM(L1096:L1110)</f>
        <v>1</v>
      </c>
      <c r="M1111" s="19">
        <v>1000</v>
      </c>
    </row>
    <row r="1112" spans="1:13" x14ac:dyDescent="0.25">
      <c r="M1112" s="24">
        <f>SUM(M1096:M1110)</f>
        <v>1000</v>
      </c>
    </row>
    <row r="1115" spans="1:13" x14ac:dyDescent="0.25">
      <c r="A1115" s="54" t="s">
        <v>279</v>
      </c>
      <c r="B1115" s="54"/>
      <c r="C1115" s="54"/>
      <c r="D1115" s="54"/>
      <c r="E1115" s="54"/>
    </row>
    <row r="1116" spans="1:13" x14ac:dyDescent="0.25">
      <c r="A1116" s="59" t="s">
        <v>276</v>
      </c>
      <c r="B1116" s="59"/>
      <c r="C1116" s="59"/>
      <c r="D1116" s="59"/>
      <c r="E1116" s="59"/>
    </row>
    <row r="1117" spans="1:13" x14ac:dyDescent="0.25">
      <c r="A1117" s="3" t="s">
        <v>3</v>
      </c>
      <c r="B1117" s="3" t="s">
        <v>97</v>
      </c>
      <c r="D1117" s="3" t="s">
        <v>5</v>
      </c>
      <c r="E1117" s="3" t="s">
        <v>7</v>
      </c>
      <c r="I1117" s="54" t="s">
        <v>280</v>
      </c>
      <c r="J1117" s="54"/>
      <c r="K1117" s="54"/>
      <c r="L1117" s="54"/>
      <c r="M1117" s="54"/>
    </row>
    <row r="1118" spans="1:13" x14ac:dyDescent="0.25">
      <c r="A1118" s="60" t="s">
        <v>98</v>
      </c>
      <c r="B1118" s="4"/>
      <c r="C1118" s="3" t="s">
        <v>10</v>
      </c>
      <c r="D1118" s="5">
        <v>0.1275</v>
      </c>
      <c r="E1118" s="6">
        <f>(E1133*D1118)</f>
        <v>127.5</v>
      </c>
      <c r="I1118" s="59" t="s">
        <v>276</v>
      </c>
      <c r="J1118" s="59"/>
      <c r="K1118" s="59"/>
      <c r="L1118" s="59"/>
      <c r="M1118" s="59"/>
    </row>
    <row r="1119" spans="1:13" x14ac:dyDescent="0.25">
      <c r="A1119" s="61"/>
      <c r="B1119" s="4"/>
      <c r="C1119" s="3" t="s">
        <v>232</v>
      </c>
      <c r="D1119" s="5">
        <v>2E-3</v>
      </c>
      <c r="E1119" s="6">
        <f>(E1133*D1119)</f>
        <v>2</v>
      </c>
      <c r="I1119" s="3" t="s">
        <v>3</v>
      </c>
      <c r="J1119" s="3" t="s">
        <v>97</v>
      </c>
      <c r="L1119" s="3" t="s">
        <v>5</v>
      </c>
      <c r="M1119" s="3" t="s">
        <v>7</v>
      </c>
    </row>
    <row r="1120" spans="1:13" x14ac:dyDescent="0.25">
      <c r="A1120" s="61"/>
      <c r="B1120" s="4"/>
      <c r="C1120" s="3" t="s">
        <v>166</v>
      </c>
      <c r="D1120" s="5">
        <v>0.03</v>
      </c>
      <c r="E1120" s="6">
        <f>(E1133*D1120)</f>
        <v>30</v>
      </c>
      <c r="I1120" s="60" t="s">
        <v>98</v>
      </c>
      <c r="J1120" s="4"/>
      <c r="K1120" s="3" t="s">
        <v>10</v>
      </c>
      <c r="L1120" s="5">
        <v>0.1275</v>
      </c>
      <c r="M1120" s="6">
        <f>(M1136*L1120)</f>
        <v>127.5</v>
      </c>
    </row>
    <row r="1121" spans="1:13" x14ac:dyDescent="0.25">
      <c r="A1121" s="61"/>
      <c r="B1121" s="4"/>
      <c r="C1121" s="3" t="s">
        <v>13</v>
      </c>
      <c r="D1121" s="5">
        <v>4.0000000000000001E-3</v>
      </c>
      <c r="E1121" s="6">
        <f>(E1133*D1121)</f>
        <v>4</v>
      </c>
      <c r="I1121" s="61"/>
      <c r="J1121" s="4"/>
      <c r="K1121" s="3" t="s">
        <v>232</v>
      </c>
      <c r="L1121" s="5">
        <v>2E-3</v>
      </c>
      <c r="M1121" s="6">
        <f>(M1136*L1121)</f>
        <v>2</v>
      </c>
    </row>
    <row r="1122" spans="1:13" x14ac:dyDescent="0.25">
      <c r="A1122" s="61"/>
      <c r="B1122" s="4"/>
      <c r="C1122" s="3" t="s">
        <v>277</v>
      </c>
      <c r="D1122" s="5">
        <v>1E-3</v>
      </c>
      <c r="E1122" s="6">
        <f>(E1133*D1122)</f>
        <v>1</v>
      </c>
      <c r="I1122" s="61"/>
      <c r="J1122" s="4"/>
      <c r="K1122" s="3" t="s">
        <v>166</v>
      </c>
      <c r="L1122" s="5">
        <v>0.03</v>
      </c>
      <c r="M1122" s="6">
        <f>(M1136*L1122)</f>
        <v>30</v>
      </c>
    </row>
    <row r="1123" spans="1:13" x14ac:dyDescent="0.25">
      <c r="A1123" s="61"/>
      <c r="B1123" s="9"/>
      <c r="C1123" s="3" t="s">
        <v>51</v>
      </c>
      <c r="D1123" s="5">
        <v>2.5000000000000001E-3</v>
      </c>
      <c r="E1123" s="6">
        <f>(E1133*D1123)</f>
        <v>2.5</v>
      </c>
      <c r="I1123" s="61"/>
      <c r="J1123" s="4"/>
      <c r="K1123" s="3" t="s">
        <v>13</v>
      </c>
      <c r="L1123" s="5">
        <v>4.0000000000000001E-3</v>
      </c>
      <c r="M1123" s="6">
        <f>(M1136*L1123)</f>
        <v>4</v>
      </c>
    </row>
    <row r="1124" spans="1:13" x14ac:dyDescent="0.25">
      <c r="A1124" s="61"/>
      <c r="B1124" s="9"/>
      <c r="C1124" s="3" t="s">
        <v>277</v>
      </c>
      <c r="D1124" s="5">
        <v>1.1999999999999999E-3</v>
      </c>
      <c r="E1124" s="6">
        <f>(E1133*D1124)</f>
        <v>1.2</v>
      </c>
      <c r="I1124" s="61"/>
      <c r="J1124" s="4"/>
      <c r="K1124" s="3" t="s">
        <v>277</v>
      </c>
      <c r="L1124" s="5">
        <v>1E-3</v>
      </c>
      <c r="M1124" s="6">
        <f>(M1136*L1124)</f>
        <v>1</v>
      </c>
    </row>
    <row r="1125" spans="1:13" x14ac:dyDescent="0.25">
      <c r="A1125" s="16" t="s">
        <v>99</v>
      </c>
      <c r="B1125" s="9"/>
      <c r="C1125" s="3" t="s">
        <v>24</v>
      </c>
      <c r="D1125" s="5">
        <v>0.11700000000000001</v>
      </c>
      <c r="E1125" s="6">
        <f>(E1133*D1125)</f>
        <v>117</v>
      </c>
      <c r="I1125" s="61"/>
      <c r="J1125" s="9"/>
      <c r="K1125" s="3" t="s">
        <v>51</v>
      </c>
      <c r="L1125" s="5">
        <v>2.5000000000000001E-3</v>
      </c>
      <c r="M1125" s="6">
        <f>(M1136*L1125)</f>
        <v>2.5</v>
      </c>
    </row>
    <row r="1126" spans="1:13" x14ac:dyDescent="0.25">
      <c r="A1126" s="16" t="s">
        <v>100</v>
      </c>
      <c r="B1126" s="9"/>
      <c r="C1126" s="3" t="s">
        <v>28</v>
      </c>
      <c r="D1126" s="5">
        <v>9.7299999999999998E-2</v>
      </c>
      <c r="E1126" s="6">
        <f>(E1133*D1126)</f>
        <v>97.3</v>
      </c>
      <c r="I1126" s="61"/>
      <c r="J1126" s="9"/>
      <c r="K1126" s="3" t="s">
        <v>277</v>
      </c>
      <c r="L1126" s="5">
        <v>1.1999999999999999E-3</v>
      </c>
      <c r="M1126" s="6">
        <f>(M1136*L1126)</f>
        <v>1.2</v>
      </c>
    </row>
    <row r="1127" spans="1:13" x14ac:dyDescent="0.25">
      <c r="A1127" s="16" t="s">
        <v>278</v>
      </c>
      <c r="B1127" s="9"/>
      <c r="C1127" s="3" t="s">
        <v>30</v>
      </c>
      <c r="D1127" s="5">
        <v>9.7299999999999998E-2</v>
      </c>
      <c r="E1127" s="6">
        <f>(E1133*D1127)</f>
        <v>97.3</v>
      </c>
      <c r="I1127" s="16" t="s">
        <v>99</v>
      </c>
      <c r="J1127" s="9"/>
      <c r="K1127" s="3" t="s">
        <v>24</v>
      </c>
      <c r="L1127" s="5">
        <v>0.11700000000000001</v>
      </c>
      <c r="M1127" s="6">
        <f>(M1136*L1127)</f>
        <v>117</v>
      </c>
    </row>
    <row r="1128" spans="1:13" x14ac:dyDescent="0.25">
      <c r="A1128" s="16" t="s">
        <v>102</v>
      </c>
      <c r="B1128" s="9"/>
      <c r="C1128" s="15" t="s">
        <v>70</v>
      </c>
      <c r="D1128" s="5">
        <v>5.0000000000000001E-3</v>
      </c>
      <c r="E1128" s="6">
        <f>(E1133*D1128)</f>
        <v>5</v>
      </c>
      <c r="I1128" s="16" t="s">
        <v>100</v>
      </c>
      <c r="J1128" s="9"/>
      <c r="K1128" s="3" t="s">
        <v>28</v>
      </c>
      <c r="L1128" s="5">
        <v>9.7299999999999998E-2</v>
      </c>
      <c r="M1128" s="6">
        <f>(M1136*L1128)</f>
        <v>97.3</v>
      </c>
    </row>
    <row r="1129" spans="1:13" ht="27.6" x14ac:dyDescent="0.25">
      <c r="A1129" s="26" t="s">
        <v>103</v>
      </c>
      <c r="B1129" s="9"/>
      <c r="C1129" s="15" t="s">
        <v>124</v>
      </c>
      <c r="D1129" s="5">
        <v>0.24399999999999999</v>
      </c>
      <c r="E1129" s="6">
        <f>(E1133*D1129)</f>
        <v>244</v>
      </c>
      <c r="I1129" s="16" t="s">
        <v>281</v>
      </c>
      <c r="J1129" s="9"/>
      <c r="K1129" s="3" t="s">
        <v>30</v>
      </c>
      <c r="L1129" s="5">
        <v>9.7299999999999998E-2</v>
      </c>
      <c r="M1129" s="6">
        <f>(M1136*L1129)</f>
        <v>97.3</v>
      </c>
    </row>
    <row r="1130" spans="1:13" x14ac:dyDescent="0.25">
      <c r="A1130" s="26" t="s">
        <v>131</v>
      </c>
      <c r="B1130" s="9"/>
      <c r="C1130" s="15" t="s">
        <v>130</v>
      </c>
      <c r="D1130" s="5">
        <v>0.03</v>
      </c>
      <c r="E1130" s="6">
        <f>(E1133*D1130)</f>
        <v>30</v>
      </c>
      <c r="I1130" s="16" t="s">
        <v>282</v>
      </c>
      <c r="J1130" s="9"/>
      <c r="K1130" s="15" t="s">
        <v>70</v>
      </c>
      <c r="L1130" s="5">
        <v>5.0000000000000001E-3</v>
      </c>
      <c r="M1130" s="6">
        <f>(M1136*L1130)</f>
        <v>5</v>
      </c>
    </row>
    <row r="1131" spans="1:13" ht="27.6" x14ac:dyDescent="0.25">
      <c r="A1131" s="62" t="s">
        <v>133</v>
      </c>
      <c r="B1131" s="9"/>
      <c r="C1131" s="15" t="s">
        <v>153</v>
      </c>
      <c r="D1131" s="5">
        <v>0.24</v>
      </c>
      <c r="E1131" s="6">
        <f>(E1133*D1131)</f>
        <v>240</v>
      </c>
      <c r="I1131" s="26" t="s">
        <v>103</v>
      </c>
      <c r="J1131" s="9"/>
      <c r="K1131" s="15" t="s">
        <v>124</v>
      </c>
      <c r="L1131" s="5">
        <v>0.24399999999999999</v>
      </c>
      <c r="M1131" s="6">
        <f>(M1136*L1131)</f>
        <v>244</v>
      </c>
    </row>
    <row r="1132" spans="1:13" x14ac:dyDescent="0.25">
      <c r="A1132" s="63"/>
      <c r="B1132" s="9"/>
      <c r="C1132" s="15" t="s">
        <v>277</v>
      </c>
      <c r="D1132" s="5">
        <v>1.1999999999999999E-3</v>
      </c>
      <c r="E1132" s="6">
        <f>(E1133*D1132)</f>
        <v>1.2</v>
      </c>
      <c r="I1132" s="26" t="s">
        <v>283</v>
      </c>
      <c r="J1132" s="9"/>
      <c r="K1132" s="15" t="s">
        <v>153</v>
      </c>
      <c r="L1132" s="32">
        <v>8.5000000000000006E-2</v>
      </c>
      <c r="M1132" s="6">
        <f>(M1136*L1132)</f>
        <v>85</v>
      </c>
    </row>
    <row r="1133" spans="1:13" x14ac:dyDescent="0.25">
      <c r="A1133" s="2"/>
      <c r="B1133" s="12"/>
      <c r="C1133" s="2"/>
      <c r="D1133" s="23">
        <f>SUM(D1118:D1132)</f>
        <v>1</v>
      </c>
      <c r="E1133" s="19">
        <v>1000</v>
      </c>
      <c r="I1133" s="26" t="s">
        <v>131</v>
      </c>
      <c r="J1133" s="9"/>
      <c r="K1133" s="15" t="s">
        <v>130</v>
      </c>
      <c r="L1133" s="5">
        <v>0.03</v>
      </c>
      <c r="M1133" s="6">
        <f>(M1136*L1133)</f>
        <v>30</v>
      </c>
    </row>
    <row r="1134" spans="1:13" x14ac:dyDescent="0.25">
      <c r="E1134" s="24">
        <f>SUM(E1118:E1132)</f>
        <v>1000</v>
      </c>
      <c r="I1134" s="62" t="s">
        <v>133</v>
      </c>
      <c r="J1134" s="9"/>
      <c r="K1134" s="15" t="s">
        <v>153</v>
      </c>
      <c r="L1134" s="5">
        <v>0.155</v>
      </c>
      <c r="M1134" s="6">
        <f>(M1136*L1134)</f>
        <v>155</v>
      </c>
    </row>
    <row r="1135" spans="1:13" x14ac:dyDescent="0.25">
      <c r="I1135" s="63"/>
      <c r="J1135" s="9"/>
      <c r="K1135" s="15" t="s">
        <v>277</v>
      </c>
      <c r="L1135" s="5">
        <v>1.1999999999999999E-3</v>
      </c>
      <c r="M1135" s="6">
        <f>(M1136*L1135)</f>
        <v>1.2</v>
      </c>
    </row>
    <row r="1136" spans="1:13" x14ac:dyDescent="0.25">
      <c r="I1136" s="2"/>
      <c r="J1136" s="12"/>
      <c r="K1136" s="2"/>
      <c r="L1136" s="23">
        <f>SUM(L1120:L1135)</f>
        <v>1</v>
      </c>
      <c r="M1136" s="19">
        <v>1000</v>
      </c>
    </row>
    <row r="1137" spans="1:13" x14ac:dyDescent="0.25">
      <c r="M1137" s="24">
        <f>SUM(M1120:M1135)</f>
        <v>1000</v>
      </c>
    </row>
    <row r="1140" spans="1:13" x14ac:dyDescent="0.25">
      <c r="A1140" s="54" t="s">
        <v>284</v>
      </c>
      <c r="B1140" s="54"/>
      <c r="C1140" s="54"/>
      <c r="D1140" s="54"/>
      <c r="E1140" s="54"/>
    </row>
    <row r="1141" spans="1:13" x14ac:dyDescent="0.25">
      <c r="A1141" s="59" t="s">
        <v>286</v>
      </c>
      <c r="B1141" s="59"/>
      <c r="C1141" s="59"/>
      <c r="D1141" s="59"/>
      <c r="E1141" s="59"/>
    </row>
    <row r="1142" spans="1:13" x14ac:dyDescent="0.25">
      <c r="A1142" s="3" t="s">
        <v>3</v>
      </c>
      <c r="B1142" s="3" t="s">
        <v>97</v>
      </c>
      <c r="D1142" s="3" t="s">
        <v>5</v>
      </c>
      <c r="E1142" s="3" t="s">
        <v>7</v>
      </c>
    </row>
    <row r="1143" spans="1:13" x14ac:dyDescent="0.25">
      <c r="A1143" s="60" t="s">
        <v>98</v>
      </c>
      <c r="B1143" s="4"/>
      <c r="C1143" s="3" t="s">
        <v>10</v>
      </c>
      <c r="D1143" s="5">
        <v>0.1278</v>
      </c>
      <c r="E1143" s="6">
        <f>(E1159*D1143)</f>
        <v>127.8</v>
      </c>
      <c r="I1143" s="54" t="s">
        <v>285</v>
      </c>
      <c r="J1143" s="54"/>
      <c r="K1143" s="54"/>
      <c r="L1143" s="54"/>
      <c r="M1143" s="54"/>
    </row>
    <row r="1144" spans="1:13" x14ac:dyDescent="0.25">
      <c r="A1144" s="61"/>
      <c r="B1144" s="4"/>
      <c r="C1144" s="3" t="s">
        <v>232</v>
      </c>
      <c r="D1144" s="5">
        <v>2E-3</v>
      </c>
      <c r="E1144" s="6">
        <f>(E1159*D1144)</f>
        <v>2</v>
      </c>
      <c r="I1144" s="59" t="s">
        <v>276</v>
      </c>
      <c r="J1144" s="59"/>
      <c r="K1144" s="59"/>
      <c r="L1144" s="59"/>
      <c r="M1144" s="59"/>
    </row>
    <row r="1145" spans="1:13" x14ac:dyDescent="0.25">
      <c r="A1145" s="61"/>
      <c r="B1145" s="4"/>
      <c r="C1145" s="3" t="s">
        <v>166</v>
      </c>
      <c r="D1145" s="5">
        <v>0.03</v>
      </c>
      <c r="E1145" s="6">
        <f>(E1159*D1145)</f>
        <v>30</v>
      </c>
      <c r="I1145" s="3" t="s">
        <v>3</v>
      </c>
      <c r="J1145" s="3" t="s">
        <v>97</v>
      </c>
      <c r="L1145" s="3" t="s">
        <v>5</v>
      </c>
      <c r="M1145" s="3" t="s">
        <v>7</v>
      </c>
    </row>
    <row r="1146" spans="1:13" x14ac:dyDescent="0.25">
      <c r="A1146" s="61"/>
      <c r="B1146" s="4"/>
      <c r="C1146" s="3" t="s">
        <v>13</v>
      </c>
      <c r="D1146" s="5">
        <v>4.0000000000000001E-3</v>
      </c>
      <c r="E1146" s="6">
        <f>(E1159*D1146)</f>
        <v>4</v>
      </c>
      <c r="I1146" s="60" t="s">
        <v>98</v>
      </c>
      <c r="J1146" s="4"/>
      <c r="K1146" s="3" t="s">
        <v>10</v>
      </c>
      <c r="L1146" s="5">
        <v>0.1295</v>
      </c>
      <c r="M1146" s="6">
        <f>(M1162*L1146)</f>
        <v>129.5</v>
      </c>
    </row>
    <row r="1147" spans="1:13" x14ac:dyDescent="0.25">
      <c r="A1147" s="61"/>
      <c r="B1147" s="4"/>
      <c r="C1147" s="3" t="s">
        <v>277</v>
      </c>
      <c r="D1147" s="5">
        <v>1E-3</v>
      </c>
      <c r="E1147" s="6">
        <f>(E1159*D1147)</f>
        <v>1</v>
      </c>
      <c r="I1147" s="61"/>
      <c r="J1147" s="4"/>
      <c r="K1147" s="3" t="s">
        <v>232</v>
      </c>
      <c r="L1147" s="5">
        <v>2E-3</v>
      </c>
      <c r="M1147" s="6">
        <f>(M1162*L1147)</f>
        <v>2</v>
      </c>
    </row>
    <row r="1148" spans="1:13" x14ac:dyDescent="0.25">
      <c r="A1148" s="61"/>
      <c r="B1148" s="9"/>
      <c r="C1148" s="3" t="s">
        <v>267</v>
      </c>
      <c r="D1148" s="5">
        <v>2.2000000000000001E-3</v>
      </c>
      <c r="E1148" s="6">
        <f>(E1159*D1148)</f>
        <v>2.2000000000000002</v>
      </c>
      <c r="I1148" s="61"/>
      <c r="J1148" s="4"/>
      <c r="K1148" s="3" t="s">
        <v>166</v>
      </c>
      <c r="L1148" s="5">
        <v>0.03</v>
      </c>
      <c r="M1148" s="6">
        <f>(M1162*L1148)</f>
        <v>30</v>
      </c>
    </row>
    <row r="1149" spans="1:13" x14ac:dyDescent="0.25">
      <c r="A1149" s="61"/>
      <c r="B1149" s="9"/>
      <c r="C1149" s="3" t="s">
        <v>277</v>
      </c>
      <c r="D1149" s="5">
        <v>1.1999999999999999E-3</v>
      </c>
      <c r="E1149" s="6">
        <f>(E1159*D1149)</f>
        <v>1.2</v>
      </c>
      <c r="I1149" s="61"/>
      <c r="J1149" s="4"/>
      <c r="K1149" s="3" t="s">
        <v>13</v>
      </c>
      <c r="L1149" s="5">
        <v>2E-3</v>
      </c>
      <c r="M1149" s="6">
        <f>(M1162*L1149)</f>
        <v>2</v>
      </c>
    </row>
    <row r="1150" spans="1:13" x14ac:dyDescent="0.25">
      <c r="A1150" s="16" t="s">
        <v>99</v>
      </c>
      <c r="B1150" s="9"/>
      <c r="C1150" s="3" t="s">
        <v>24</v>
      </c>
      <c r="D1150" s="5">
        <v>0.11700000000000001</v>
      </c>
      <c r="E1150" s="6">
        <f>(E1159*D1150)</f>
        <v>117</v>
      </c>
      <c r="I1150" s="61"/>
      <c r="J1150" s="4"/>
      <c r="K1150" s="3" t="s">
        <v>277</v>
      </c>
      <c r="L1150" s="5">
        <v>1E-3</v>
      </c>
      <c r="M1150" s="6">
        <f>(M1162*L1150)</f>
        <v>1</v>
      </c>
    </row>
    <row r="1151" spans="1:13" x14ac:dyDescent="0.25">
      <c r="A1151" s="16" t="s">
        <v>100</v>
      </c>
      <c r="B1151" s="9"/>
      <c r="C1151" s="3" t="s">
        <v>28</v>
      </c>
      <c r="D1151" s="5">
        <v>9.7299999999999998E-2</v>
      </c>
      <c r="E1151" s="6">
        <f>(E1159*D1151)</f>
        <v>97.3</v>
      </c>
      <c r="I1151" s="61"/>
      <c r="J1151" s="9"/>
      <c r="K1151" s="3" t="s">
        <v>51</v>
      </c>
      <c r="L1151" s="5">
        <v>2.5000000000000001E-3</v>
      </c>
      <c r="M1151" s="6">
        <f>(M1162*L1151)</f>
        <v>2.5</v>
      </c>
    </row>
    <row r="1152" spans="1:13" x14ac:dyDescent="0.25">
      <c r="A1152" s="16" t="s">
        <v>287</v>
      </c>
      <c r="B1152" s="9"/>
      <c r="C1152" s="3" t="s">
        <v>30</v>
      </c>
      <c r="D1152" s="5">
        <v>9.7299999999999998E-2</v>
      </c>
      <c r="E1152" s="6">
        <f>(E1159*D1152)</f>
        <v>97.3</v>
      </c>
      <c r="I1152" s="61"/>
      <c r="J1152" s="9"/>
      <c r="K1152" s="3" t="s">
        <v>277</v>
      </c>
      <c r="L1152" s="5">
        <v>1.1999999999999999E-3</v>
      </c>
      <c r="M1152" s="6">
        <f>(M1162*L1152)</f>
        <v>1.2</v>
      </c>
    </row>
    <row r="1153" spans="1:13" x14ac:dyDescent="0.25">
      <c r="A1153" s="16" t="s">
        <v>282</v>
      </c>
      <c r="B1153" s="9"/>
      <c r="C1153" s="15" t="s">
        <v>70</v>
      </c>
      <c r="D1153" s="5">
        <v>5.0000000000000001E-3</v>
      </c>
      <c r="E1153" s="6">
        <f>(E1159*D1153)</f>
        <v>5</v>
      </c>
      <c r="I1153" s="16" t="s">
        <v>99</v>
      </c>
      <c r="J1153" s="9"/>
      <c r="K1153" s="3" t="s">
        <v>24</v>
      </c>
      <c r="L1153" s="5">
        <v>0.11700000000000001</v>
      </c>
      <c r="M1153" s="6">
        <f>(M1162*L1153)</f>
        <v>117</v>
      </c>
    </row>
    <row r="1154" spans="1:13" ht="27.6" x14ac:dyDescent="0.25">
      <c r="A1154" s="26" t="s">
        <v>103</v>
      </c>
      <c r="B1154" s="9"/>
      <c r="C1154" s="15" t="s">
        <v>124</v>
      </c>
      <c r="D1154" s="5">
        <v>0.24399999999999999</v>
      </c>
      <c r="E1154" s="6">
        <f>(E1159*D1154)</f>
        <v>244</v>
      </c>
      <c r="I1154" s="16" t="s">
        <v>100</v>
      </c>
      <c r="J1154" s="9"/>
      <c r="K1154" s="3" t="s">
        <v>28</v>
      </c>
      <c r="L1154" s="5">
        <v>9.7299999999999998E-2</v>
      </c>
      <c r="M1154" s="6">
        <f>(M1162*L1154)</f>
        <v>97.3</v>
      </c>
    </row>
    <row r="1155" spans="1:13" x14ac:dyDescent="0.25">
      <c r="A1155" s="26" t="s">
        <v>283</v>
      </c>
      <c r="B1155" s="9"/>
      <c r="C1155" s="15" t="s">
        <v>153</v>
      </c>
      <c r="D1155" s="32">
        <v>8.5000000000000006E-2</v>
      </c>
      <c r="E1155" s="6">
        <f>(E1159*D1155)</f>
        <v>85</v>
      </c>
      <c r="I1155" s="16" t="s">
        <v>288</v>
      </c>
      <c r="J1155" s="9"/>
      <c r="K1155" s="3" t="s">
        <v>30</v>
      </c>
      <c r="L1155" s="5">
        <v>9.7299999999999998E-2</v>
      </c>
      <c r="M1155" s="6">
        <f>(M1162*L1155)</f>
        <v>97.3</v>
      </c>
    </row>
    <row r="1156" spans="1:13" x14ac:dyDescent="0.25">
      <c r="A1156" s="26" t="s">
        <v>131</v>
      </c>
      <c r="B1156" s="9"/>
      <c r="C1156" s="15" t="s">
        <v>130</v>
      </c>
      <c r="D1156" s="5">
        <v>0.03</v>
      </c>
      <c r="E1156" s="6">
        <f>(E1159*D1156)</f>
        <v>30</v>
      </c>
      <c r="I1156" s="16" t="s">
        <v>282</v>
      </c>
      <c r="J1156" s="9"/>
      <c r="K1156" s="15" t="s">
        <v>70</v>
      </c>
      <c r="L1156" s="5">
        <v>5.0000000000000001E-3</v>
      </c>
      <c r="M1156" s="6">
        <f>(M1162*L1156)</f>
        <v>5</v>
      </c>
    </row>
    <row r="1157" spans="1:13" ht="27.6" x14ac:dyDescent="0.25">
      <c r="A1157" s="62" t="s">
        <v>133</v>
      </c>
      <c r="B1157" s="9"/>
      <c r="C1157" s="15" t="s">
        <v>153</v>
      </c>
      <c r="D1157" s="5">
        <v>0.155</v>
      </c>
      <c r="E1157" s="6">
        <f>(E1159*D1157)</f>
        <v>155</v>
      </c>
      <c r="I1157" s="26" t="s">
        <v>103</v>
      </c>
      <c r="J1157" s="9"/>
      <c r="K1157" s="15" t="s">
        <v>124</v>
      </c>
      <c r="L1157" s="5">
        <v>0.24399999999999999</v>
      </c>
      <c r="M1157" s="6">
        <f>(M1162*L1157)</f>
        <v>244</v>
      </c>
    </row>
    <row r="1158" spans="1:13" x14ac:dyDescent="0.25">
      <c r="A1158" s="63"/>
      <c r="B1158" s="9"/>
      <c r="C1158" s="15" t="s">
        <v>277</v>
      </c>
      <c r="D1158" s="5">
        <v>1.1999999999999999E-3</v>
      </c>
      <c r="E1158" s="6">
        <f>(E1159*D1158)</f>
        <v>1.2</v>
      </c>
      <c r="I1158" s="26" t="s">
        <v>283</v>
      </c>
      <c r="J1158" s="9"/>
      <c r="K1158" s="15" t="s">
        <v>153</v>
      </c>
      <c r="L1158" s="32">
        <v>8.5000000000000006E-2</v>
      </c>
      <c r="M1158" s="6">
        <f>(M1162*L1158)</f>
        <v>85</v>
      </c>
    </row>
    <row r="1159" spans="1:13" x14ac:dyDescent="0.25">
      <c r="A1159" s="2"/>
      <c r="B1159" s="12"/>
      <c r="C1159" s="2"/>
      <c r="D1159" s="23">
        <f>SUM(D1143:D1158)</f>
        <v>1</v>
      </c>
      <c r="E1159" s="19">
        <v>1000</v>
      </c>
      <c r="I1159" s="26" t="s">
        <v>131</v>
      </c>
      <c r="J1159" s="9"/>
      <c r="K1159" s="15" t="s">
        <v>130</v>
      </c>
      <c r="L1159" s="5">
        <v>0.03</v>
      </c>
      <c r="M1159" s="6">
        <f>(M1162*L1159)</f>
        <v>30</v>
      </c>
    </row>
    <row r="1160" spans="1:13" x14ac:dyDescent="0.25">
      <c r="E1160" s="24">
        <f>SUM(E1143:E1158)</f>
        <v>1000</v>
      </c>
      <c r="I1160" s="62" t="s">
        <v>133</v>
      </c>
      <c r="J1160" s="9"/>
      <c r="K1160" s="15" t="s">
        <v>153</v>
      </c>
      <c r="L1160" s="5">
        <v>0.155</v>
      </c>
      <c r="M1160" s="6">
        <f>(M1162*L1160)</f>
        <v>155</v>
      </c>
    </row>
    <row r="1161" spans="1:13" x14ac:dyDescent="0.25">
      <c r="I1161" s="63"/>
      <c r="J1161" s="9"/>
      <c r="K1161" s="15" t="s">
        <v>277</v>
      </c>
      <c r="L1161" s="5">
        <v>1.1999999999999999E-3</v>
      </c>
      <c r="M1161" s="6">
        <f>(M1162*L1161)</f>
        <v>1.2</v>
      </c>
    </row>
    <row r="1162" spans="1:13" x14ac:dyDescent="0.25">
      <c r="I1162" s="2"/>
      <c r="J1162" s="12"/>
      <c r="K1162" s="2"/>
      <c r="L1162" s="23">
        <f>SUM(L1146:L1161)</f>
        <v>1</v>
      </c>
      <c r="M1162" s="19">
        <v>1000</v>
      </c>
    </row>
    <row r="1163" spans="1:13" x14ac:dyDescent="0.25">
      <c r="M1163" s="24">
        <f>SUM(M1146:M1161)</f>
        <v>1000</v>
      </c>
    </row>
    <row r="1166" spans="1:13" x14ac:dyDescent="0.25">
      <c r="A1166" s="54" t="s">
        <v>289</v>
      </c>
      <c r="B1166" s="54"/>
      <c r="C1166" s="54"/>
      <c r="D1166" s="54"/>
      <c r="E1166" s="54"/>
    </row>
    <row r="1167" spans="1:13" x14ac:dyDescent="0.25">
      <c r="A1167" s="59" t="s">
        <v>291</v>
      </c>
      <c r="B1167" s="59"/>
      <c r="C1167" s="59"/>
      <c r="D1167" s="59"/>
      <c r="E1167" s="59"/>
    </row>
    <row r="1168" spans="1:13" x14ac:dyDescent="0.25">
      <c r="A1168" s="3" t="s">
        <v>3</v>
      </c>
      <c r="B1168" s="3" t="s">
        <v>97</v>
      </c>
      <c r="D1168" s="3" t="s">
        <v>5</v>
      </c>
      <c r="E1168" s="3" t="s">
        <v>7</v>
      </c>
    </row>
    <row r="1169" spans="1:13" x14ac:dyDescent="0.25">
      <c r="A1169" s="60" t="s">
        <v>293</v>
      </c>
      <c r="B1169" s="4"/>
      <c r="C1169" s="3" t="s">
        <v>10</v>
      </c>
      <c r="D1169" s="5">
        <v>0.12889999999999999</v>
      </c>
      <c r="E1169" s="6">
        <f>(E1186*D1169)</f>
        <v>128.89999999999998</v>
      </c>
      <c r="I1169" s="54" t="s">
        <v>290</v>
      </c>
      <c r="J1169" s="54"/>
      <c r="K1169" s="54"/>
      <c r="L1169" s="54"/>
      <c r="M1169" s="54"/>
    </row>
    <row r="1170" spans="1:13" x14ac:dyDescent="0.25">
      <c r="A1170" s="61"/>
      <c r="B1170" s="4"/>
      <c r="C1170" s="3" t="s">
        <v>232</v>
      </c>
      <c r="D1170" s="5">
        <v>2E-3</v>
      </c>
      <c r="E1170" s="6">
        <f>(E1186*D1170)</f>
        <v>2</v>
      </c>
      <c r="I1170" s="59" t="s">
        <v>292</v>
      </c>
      <c r="J1170" s="59"/>
      <c r="K1170" s="59"/>
      <c r="L1170" s="59"/>
      <c r="M1170" s="59"/>
    </row>
    <row r="1171" spans="1:13" x14ac:dyDescent="0.25">
      <c r="A1171" s="61"/>
      <c r="B1171" s="4"/>
      <c r="C1171" s="3" t="s">
        <v>166</v>
      </c>
      <c r="D1171" s="5">
        <v>0.03</v>
      </c>
      <c r="E1171" s="6">
        <f>(E1186*D1171)</f>
        <v>30</v>
      </c>
      <c r="I1171" s="3" t="s">
        <v>3</v>
      </c>
      <c r="J1171" s="3" t="s">
        <v>97</v>
      </c>
      <c r="L1171" s="3" t="s">
        <v>5</v>
      </c>
      <c r="M1171" s="3" t="s">
        <v>7</v>
      </c>
    </row>
    <row r="1172" spans="1:13" ht="15" customHeight="1" x14ac:dyDescent="0.25">
      <c r="A1172" s="61"/>
      <c r="B1172" s="4"/>
      <c r="C1172" s="3" t="s">
        <v>13</v>
      </c>
      <c r="D1172" s="5">
        <v>2E-3</v>
      </c>
      <c r="E1172" s="6">
        <f>(E1186*D1172)</f>
        <v>2</v>
      </c>
      <c r="I1172" s="64" t="s">
        <v>294</v>
      </c>
      <c r="J1172" s="4"/>
      <c r="K1172" s="3" t="s">
        <v>10</v>
      </c>
      <c r="L1172" s="5">
        <v>0.12889999999999999</v>
      </c>
      <c r="M1172" s="6">
        <f>(M1189*L1172)</f>
        <v>128.89999999999998</v>
      </c>
    </row>
    <row r="1173" spans="1:13" x14ac:dyDescent="0.25">
      <c r="A1173" s="61"/>
      <c r="B1173" s="4"/>
      <c r="C1173" s="3" t="s">
        <v>20</v>
      </c>
      <c r="D1173" s="5">
        <v>5.0000000000000001E-4</v>
      </c>
      <c r="E1173" s="6">
        <f>(E1186*D1173)</f>
        <v>0.5</v>
      </c>
      <c r="I1173" s="65"/>
      <c r="J1173" s="4"/>
      <c r="K1173" s="3" t="s">
        <v>232</v>
      </c>
      <c r="L1173" s="5">
        <v>2E-3</v>
      </c>
      <c r="M1173" s="6">
        <f>(M1189*L1173)</f>
        <v>2</v>
      </c>
    </row>
    <row r="1174" spans="1:13" x14ac:dyDescent="0.25">
      <c r="A1174" s="61"/>
      <c r="B1174" s="9"/>
      <c r="C1174" s="3" t="s">
        <v>51</v>
      </c>
      <c r="D1174" s="5">
        <v>2.5000000000000001E-3</v>
      </c>
      <c r="E1174" s="6">
        <f>(E1186*D1174)</f>
        <v>2.5</v>
      </c>
      <c r="I1174" s="65"/>
      <c r="J1174" s="4"/>
      <c r="K1174" s="3" t="s">
        <v>166</v>
      </c>
      <c r="L1174" s="5">
        <v>0.03</v>
      </c>
      <c r="M1174" s="6">
        <f>(M1189*L1174)</f>
        <v>30</v>
      </c>
    </row>
    <row r="1175" spans="1:13" x14ac:dyDescent="0.25">
      <c r="A1175" s="61"/>
      <c r="B1175" s="9"/>
      <c r="C1175" s="3" t="s">
        <v>20</v>
      </c>
      <c r="D1175" s="5">
        <v>1E-3</v>
      </c>
      <c r="E1175" s="6">
        <f>(E1186*D1175)</f>
        <v>1</v>
      </c>
      <c r="I1175" s="65"/>
      <c r="J1175" s="4"/>
      <c r="K1175" s="3" t="s">
        <v>13</v>
      </c>
      <c r="L1175" s="5">
        <v>2E-3</v>
      </c>
      <c r="M1175" s="6">
        <f>(M1189*L1175)</f>
        <v>2</v>
      </c>
    </row>
    <row r="1176" spans="1:13" x14ac:dyDescent="0.25">
      <c r="A1176" s="25" t="s">
        <v>295</v>
      </c>
      <c r="B1176" s="9"/>
      <c r="C1176" s="3" t="s">
        <v>296</v>
      </c>
      <c r="D1176" s="5">
        <v>1E-3</v>
      </c>
      <c r="E1176" s="6">
        <f>(E1186*D1176)</f>
        <v>1</v>
      </c>
      <c r="I1176" s="65"/>
      <c r="J1176" s="4"/>
      <c r="K1176" s="3" t="s">
        <v>20</v>
      </c>
      <c r="L1176" s="5">
        <v>5.0000000000000001E-4</v>
      </c>
      <c r="M1176" s="6">
        <f>(M1189*L1176)</f>
        <v>0.5</v>
      </c>
    </row>
    <row r="1177" spans="1:13" x14ac:dyDescent="0.25">
      <c r="A1177" s="16" t="s">
        <v>99</v>
      </c>
      <c r="B1177" s="9"/>
      <c r="C1177" s="3" t="s">
        <v>24</v>
      </c>
      <c r="D1177" s="5">
        <v>0.11700000000000001</v>
      </c>
      <c r="E1177" s="6">
        <f>(E1186*D1177)</f>
        <v>117</v>
      </c>
      <c r="I1177" s="65"/>
      <c r="J1177" s="9"/>
      <c r="K1177" s="3" t="s">
        <v>267</v>
      </c>
      <c r="L1177" s="5">
        <v>2.5000000000000001E-3</v>
      </c>
      <c r="M1177" s="6">
        <f>(M1189*L1177)</f>
        <v>2.5</v>
      </c>
    </row>
    <row r="1178" spans="1:13" x14ac:dyDescent="0.25">
      <c r="A1178" s="16" t="s">
        <v>100</v>
      </c>
      <c r="B1178" s="9"/>
      <c r="C1178" s="3" t="s">
        <v>28</v>
      </c>
      <c r="D1178" s="5">
        <v>9.7299999999999998E-2</v>
      </c>
      <c r="E1178" s="6">
        <f>(E1186*D1178)</f>
        <v>97.3</v>
      </c>
      <c r="I1178" s="65"/>
      <c r="J1178" s="9"/>
      <c r="K1178" s="3" t="s">
        <v>20</v>
      </c>
      <c r="L1178" s="5">
        <v>1E-3</v>
      </c>
      <c r="M1178" s="6">
        <f>(M1189*L1178)</f>
        <v>1</v>
      </c>
    </row>
    <row r="1179" spans="1:13" x14ac:dyDescent="0.25">
      <c r="A1179" s="16" t="s">
        <v>288</v>
      </c>
      <c r="B1179" s="9"/>
      <c r="C1179" s="3" t="s">
        <v>30</v>
      </c>
      <c r="D1179" s="5">
        <v>9.7299999999999998E-2</v>
      </c>
      <c r="E1179" s="6">
        <f>(E1186*D1179)</f>
        <v>97.3</v>
      </c>
      <c r="I1179" s="25" t="s">
        <v>295</v>
      </c>
      <c r="J1179" s="9"/>
      <c r="K1179" s="3" t="s">
        <v>296</v>
      </c>
      <c r="L1179" s="5">
        <v>1E-3</v>
      </c>
      <c r="M1179" s="6">
        <f>(M1189*L1179)</f>
        <v>1</v>
      </c>
    </row>
    <row r="1180" spans="1:13" x14ac:dyDescent="0.25">
      <c r="A1180" s="16" t="s">
        <v>282</v>
      </c>
      <c r="B1180" s="9"/>
      <c r="C1180" s="15" t="s">
        <v>70</v>
      </c>
      <c r="D1180" s="5">
        <v>5.0000000000000001E-3</v>
      </c>
      <c r="E1180" s="6">
        <f>(E1186*D1180)</f>
        <v>5</v>
      </c>
      <c r="I1180" s="16" t="s">
        <v>297</v>
      </c>
      <c r="J1180" s="9"/>
      <c r="K1180" s="3" t="s">
        <v>24</v>
      </c>
      <c r="L1180" s="5">
        <v>0.11700000000000001</v>
      </c>
      <c r="M1180" s="6">
        <f>(M1189*L1180)</f>
        <v>117</v>
      </c>
    </row>
    <row r="1181" spans="1:13" ht="27.6" x14ac:dyDescent="0.25">
      <c r="A1181" s="26" t="s">
        <v>103</v>
      </c>
      <c r="B1181" s="9"/>
      <c r="C1181" s="15" t="s">
        <v>124</v>
      </c>
      <c r="D1181" s="5">
        <v>0.24399999999999999</v>
      </c>
      <c r="E1181" s="6">
        <f>(E1186*D1181)</f>
        <v>244</v>
      </c>
      <c r="I1181" s="16" t="s">
        <v>298</v>
      </c>
      <c r="J1181" s="9"/>
      <c r="K1181" s="3" t="s">
        <v>28</v>
      </c>
      <c r="L1181" s="5">
        <v>9.7299999999999998E-2</v>
      </c>
      <c r="M1181" s="6">
        <f>(M1189*L1181)</f>
        <v>97.3</v>
      </c>
    </row>
    <row r="1182" spans="1:13" x14ac:dyDescent="0.25">
      <c r="A1182" s="26" t="s">
        <v>283</v>
      </c>
      <c r="B1182" s="9"/>
      <c r="C1182" s="15" t="s">
        <v>153</v>
      </c>
      <c r="D1182" s="32">
        <v>8.5000000000000006E-2</v>
      </c>
      <c r="E1182" s="6">
        <f>(E1186*D1182)</f>
        <v>85</v>
      </c>
      <c r="I1182" s="16" t="s">
        <v>299</v>
      </c>
      <c r="J1182" s="9"/>
      <c r="K1182" s="3" t="s">
        <v>30</v>
      </c>
      <c r="L1182" s="5">
        <v>9.7299999999999998E-2</v>
      </c>
      <c r="M1182" s="6">
        <f>(M1189*L1182)</f>
        <v>97.3</v>
      </c>
    </row>
    <row r="1183" spans="1:13" x14ac:dyDescent="0.25">
      <c r="A1183" s="26" t="s">
        <v>131</v>
      </c>
      <c r="B1183" s="9"/>
      <c r="C1183" s="15" t="s">
        <v>130</v>
      </c>
      <c r="D1183" s="5">
        <v>0.03</v>
      </c>
      <c r="E1183" s="6">
        <f>(E1186*D1183)</f>
        <v>30</v>
      </c>
      <c r="I1183" s="16" t="s">
        <v>300</v>
      </c>
      <c r="J1183" s="9"/>
      <c r="K1183" s="15" t="s">
        <v>70</v>
      </c>
      <c r="L1183" s="5">
        <v>5.0000000000000001E-3</v>
      </c>
      <c r="M1183" s="6">
        <f>(M1189*L1183)</f>
        <v>5</v>
      </c>
    </row>
    <row r="1184" spans="1:13" ht="27.6" x14ac:dyDescent="0.25">
      <c r="A1184" s="62" t="s">
        <v>133</v>
      </c>
      <c r="B1184" s="9"/>
      <c r="C1184" s="15" t="s">
        <v>153</v>
      </c>
      <c r="D1184" s="5">
        <v>0.155</v>
      </c>
      <c r="E1184" s="6">
        <f>(E1186*D1184)</f>
        <v>155</v>
      </c>
      <c r="I1184" s="26" t="s">
        <v>301</v>
      </c>
      <c r="J1184" s="9"/>
      <c r="K1184" s="15" t="s">
        <v>124</v>
      </c>
      <c r="L1184" s="5">
        <v>0.24399999999999999</v>
      </c>
      <c r="M1184" s="6">
        <f>(M1189*L1184)</f>
        <v>244</v>
      </c>
    </row>
    <row r="1185" spans="1:13" x14ac:dyDescent="0.25">
      <c r="A1185" s="63"/>
      <c r="B1185" s="9"/>
      <c r="C1185" s="15" t="s">
        <v>20</v>
      </c>
      <c r="D1185" s="5">
        <v>1.5E-3</v>
      </c>
      <c r="E1185" s="6">
        <f>(E1186*D1185)</f>
        <v>1.5</v>
      </c>
      <c r="I1185" s="26" t="s">
        <v>302</v>
      </c>
      <c r="J1185" s="9"/>
      <c r="K1185" s="15" t="s">
        <v>153</v>
      </c>
      <c r="L1185" s="32">
        <v>8.5000000000000006E-2</v>
      </c>
      <c r="M1185" s="6">
        <f>(M1189*L1185)</f>
        <v>85</v>
      </c>
    </row>
    <row r="1186" spans="1:13" x14ac:dyDescent="0.25">
      <c r="A1186" s="2"/>
      <c r="B1186" s="12"/>
      <c r="C1186" s="2"/>
      <c r="D1186" s="23">
        <f>SUM(D1169:D1185)</f>
        <v>0.99999999999999989</v>
      </c>
      <c r="E1186" s="19">
        <v>1000</v>
      </c>
      <c r="I1186" s="26" t="s">
        <v>303</v>
      </c>
      <c r="J1186" s="9"/>
      <c r="K1186" s="15" t="s">
        <v>130</v>
      </c>
      <c r="L1186" s="5">
        <v>0.03</v>
      </c>
      <c r="M1186" s="6">
        <f>(M1189*L1186)</f>
        <v>30</v>
      </c>
    </row>
    <row r="1187" spans="1:13" ht="15" customHeight="1" x14ac:dyDescent="0.25">
      <c r="C1187" s="33">
        <f>SUM(D1174+D1176+D1177+D1178+D1179+D1181+D1182*0.5+D1183+D1184*0.5)</f>
        <v>0.70909999999999995</v>
      </c>
      <c r="E1187" s="24">
        <f>SUM(E1169:E1185)</f>
        <v>1000</v>
      </c>
      <c r="I1187" s="62" t="s">
        <v>304</v>
      </c>
      <c r="J1187" s="9"/>
      <c r="K1187" s="15" t="s">
        <v>153</v>
      </c>
      <c r="L1187" s="5">
        <v>0.155</v>
      </c>
      <c r="M1187" s="6">
        <f>(M1189*L1187)</f>
        <v>155</v>
      </c>
    </row>
    <row r="1188" spans="1:13" x14ac:dyDescent="0.25">
      <c r="I1188" s="63"/>
      <c r="J1188" s="9"/>
      <c r="K1188" s="15" t="s">
        <v>20</v>
      </c>
      <c r="L1188" s="5">
        <v>1.5E-3</v>
      </c>
      <c r="M1188" s="6">
        <f>(M1189*L1188)</f>
        <v>1.5</v>
      </c>
    </row>
    <row r="1189" spans="1:13" x14ac:dyDescent="0.25">
      <c r="I1189" s="2"/>
      <c r="J1189" s="12"/>
      <c r="K1189" s="2"/>
      <c r="L1189" s="23">
        <f>SUM(L1172:L1188)</f>
        <v>0.99999999999999989</v>
      </c>
      <c r="M1189" s="19">
        <v>1000</v>
      </c>
    </row>
    <row r="1190" spans="1:13" x14ac:dyDescent="0.25">
      <c r="A1190" s="54"/>
      <c r="B1190" s="54"/>
      <c r="C1190" s="54"/>
      <c r="D1190" s="54"/>
      <c r="E1190" s="54"/>
      <c r="M1190" s="24">
        <f>SUM(M1172:M1188)</f>
        <v>1000</v>
      </c>
    </row>
    <row r="1191" spans="1:13" x14ac:dyDescent="0.25">
      <c r="A1191" s="59"/>
      <c r="B1191" s="59"/>
      <c r="C1191" s="59"/>
      <c r="D1191" s="59"/>
      <c r="E1191" s="59"/>
    </row>
    <row r="1192" spans="1:13" x14ac:dyDescent="0.25">
      <c r="A1192" s="54" t="s">
        <v>305</v>
      </c>
      <c r="B1192" s="54"/>
      <c r="C1192" s="54"/>
      <c r="D1192" s="54"/>
      <c r="E1192" s="54"/>
    </row>
    <row r="1193" spans="1:13" x14ac:dyDescent="0.25">
      <c r="A1193" s="59" t="s">
        <v>307</v>
      </c>
      <c r="B1193" s="59"/>
      <c r="C1193" s="59"/>
      <c r="D1193" s="59"/>
      <c r="E1193" s="59"/>
    </row>
    <row r="1194" spans="1:13" x14ac:dyDescent="0.25">
      <c r="A1194" s="3" t="s">
        <v>3</v>
      </c>
      <c r="B1194" s="3" t="s">
        <v>97</v>
      </c>
      <c r="D1194" s="3" t="s">
        <v>5</v>
      </c>
      <c r="E1194" s="3" t="s">
        <v>7</v>
      </c>
    </row>
    <row r="1195" spans="1:13" x14ac:dyDescent="0.25">
      <c r="A1195" s="60" t="s">
        <v>293</v>
      </c>
      <c r="B1195" s="4"/>
      <c r="C1195" s="3" t="s">
        <v>10</v>
      </c>
      <c r="D1195" s="5">
        <v>0.12909999999999999</v>
      </c>
      <c r="E1195" s="6">
        <f>(E$1212*D1195)</f>
        <v>51.64</v>
      </c>
      <c r="I1195" s="54" t="s">
        <v>306</v>
      </c>
      <c r="J1195" s="54"/>
      <c r="K1195" s="54"/>
      <c r="L1195" s="54"/>
      <c r="M1195" s="54"/>
    </row>
    <row r="1196" spans="1:13" x14ac:dyDescent="0.25">
      <c r="A1196" s="61"/>
      <c r="B1196" s="4"/>
      <c r="C1196" s="3" t="s">
        <v>232</v>
      </c>
      <c r="D1196" s="5">
        <v>2E-3</v>
      </c>
      <c r="E1196" s="6">
        <f>(E$1212*D1196)</f>
        <v>0.8</v>
      </c>
      <c r="I1196" s="59" t="s">
        <v>308</v>
      </c>
      <c r="J1196" s="59"/>
      <c r="K1196" s="59"/>
      <c r="L1196" s="59"/>
      <c r="M1196" s="59"/>
    </row>
    <row r="1197" spans="1:13" x14ac:dyDescent="0.25">
      <c r="A1197" s="61"/>
      <c r="B1197" s="4"/>
      <c r="C1197" s="3" t="s">
        <v>166</v>
      </c>
      <c r="D1197" s="5">
        <v>0.03</v>
      </c>
      <c r="E1197" s="6">
        <f>(E$1212*D1197)</f>
        <v>12</v>
      </c>
      <c r="I1197" s="3" t="s">
        <v>3</v>
      </c>
      <c r="J1197" s="3" t="s">
        <v>97</v>
      </c>
      <c r="L1197" s="3" t="s">
        <v>5</v>
      </c>
      <c r="M1197" s="3" t="s">
        <v>7</v>
      </c>
    </row>
    <row r="1198" spans="1:13" x14ac:dyDescent="0.25">
      <c r="A1198" s="61"/>
      <c r="B1198" s="4"/>
      <c r="C1198" s="3" t="s">
        <v>13</v>
      </c>
      <c r="D1198" s="5">
        <v>2.0999999999999999E-3</v>
      </c>
      <c r="E1198" s="6">
        <f>(E$1212*D1198)</f>
        <v>0.84</v>
      </c>
      <c r="I1198" s="60" t="s">
        <v>293</v>
      </c>
      <c r="J1198" s="4"/>
      <c r="K1198" s="3" t="s">
        <v>10</v>
      </c>
      <c r="L1198" s="5">
        <v>0.12959999999999999</v>
      </c>
      <c r="M1198" s="6">
        <f>(M1215*L1198)</f>
        <v>129.6</v>
      </c>
    </row>
    <row r="1199" spans="1:13" x14ac:dyDescent="0.25">
      <c r="A1199" s="61"/>
      <c r="B1199" s="4"/>
      <c r="C1199" s="3" t="s">
        <v>20</v>
      </c>
      <c r="D1199" s="5">
        <v>5.0000000000000001E-4</v>
      </c>
      <c r="E1199" s="6">
        <f>(E$1212*D1199)</f>
        <v>0.2</v>
      </c>
      <c r="I1199" s="61"/>
      <c r="J1199" s="4"/>
      <c r="K1199" s="3" t="s">
        <v>232</v>
      </c>
      <c r="L1199" s="5">
        <v>2E-3</v>
      </c>
      <c r="M1199" s="6">
        <f>(M1215*L1199)</f>
        <v>2</v>
      </c>
    </row>
    <row r="1200" spans="1:13" x14ac:dyDescent="0.25">
      <c r="A1200" s="61"/>
      <c r="B1200" s="9"/>
      <c r="C1200" s="3" t="s">
        <v>51</v>
      </c>
      <c r="D1200" s="5">
        <v>2.3E-3</v>
      </c>
      <c r="E1200" s="6">
        <f>(E$1212*D1200)</f>
        <v>0.91999999999999993</v>
      </c>
      <c r="I1200" s="61"/>
      <c r="J1200" s="4"/>
      <c r="K1200" s="3" t="s">
        <v>166</v>
      </c>
      <c r="L1200" s="5">
        <v>0.03</v>
      </c>
      <c r="M1200" s="6">
        <f>(M1215*L1200)</f>
        <v>30</v>
      </c>
    </row>
    <row r="1201" spans="1:13" x14ac:dyDescent="0.25">
      <c r="A1201" s="61"/>
      <c r="B1201" s="9"/>
      <c r="C1201" s="3" t="s">
        <v>20</v>
      </c>
      <c r="D1201" s="5">
        <v>1E-3</v>
      </c>
      <c r="E1201" s="6">
        <f>(E$1212*D1201)</f>
        <v>0.4</v>
      </c>
      <c r="I1201" s="61"/>
      <c r="J1201" s="4"/>
      <c r="K1201" s="3" t="s">
        <v>13</v>
      </c>
      <c r="L1201" s="5">
        <v>2E-3</v>
      </c>
      <c r="M1201" s="6">
        <f>(M1215*L1201)</f>
        <v>2</v>
      </c>
    </row>
    <row r="1202" spans="1:13" x14ac:dyDescent="0.25">
      <c r="A1202" s="25" t="s">
        <v>295</v>
      </c>
      <c r="B1202" s="9"/>
      <c r="C1202" s="3" t="s">
        <v>296</v>
      </c>
      <c r="D1202" s="5">
        <v>1.5E-3</v>
      </c>
      <c r="E1202" s="6">
        <f>(E$1212*D1202)</f>
        <v>0.6</v>
      </c>
      <c r="I1202" s="61"/>
      <c r="J1202" s="4"/>
      <c r="K1202" s="3" t="s">
        <v>20</v>
      </c>
      <c r="L1202" s="5">
        <v>5.0000000000000001E-4</v>
      </c>
      <c r="M1202" s="6">
        <f>(M1215*L1202)</f>
        <v>0.5</v>
      </c>
    </row>
    <row r="1203" spans="1:13" x14ac:dyDescent="0.25">
      <c r="A1203" s="16" t="s">
        <v>99</v>
      </c>
      <c r="B1203" s="9"/>
      <c r="C1203" s="3" t="s">
        <v>24</v>
      </c>
      <c r="D1203" s="5">
        <v>0.11700000000000001</v>
      </c>
      <c r="E1203" s="6">
        <f>(E$1212*D1203)</f>
        <v>46.800000000000004</v>
      </c>
      <c r="I1203" s="61"/>
      <c r="J1203" s="9"/>
      <c r="K1203" s="3" t="s">
        <v>51</v>
      </c>
      <c r="L1203" s="5">
        <v>2.5000000000000001E-3</v>
      </c>
      <c r="M1203" s="6">
        <f>(M1215*L1203)</f>
        <v>2.5</v>
      </c>
    </row>
    <row r="1204" spans="1:13" x14ac:dyDescent="0.25">
      <c r="A1204" s="16" t="s">
        <v>100</v>
      </c>
      <c r="B1204" s="9"/>
      <c r="C1204" s="3" t="s">
        <v>28</v>
      </c>
      <c r="D1204" s="5">
        <v>9.7000000000000003E-2</v>
      </c>
      <c r="E1204" s="6">
        <f>(E$1212*D1204)</f>
        <v>38.800000000000004</v>
      </c>
      <c r="I1204" s="61"/>
      <c r="J1204" s="9"/>
      <c r="K1204" s="3" t="s">
        <v>20</v>
      </c>
      <c r="L1204" s="5">
        <v>1E-3</v>
      </c>
      <c r="M1204" s="6">
        <f>(M1215*L1204)</f>
        <v>1</v>
      </c>
    </row>
    <row r="1205" spans="1:13" x14ac:dyDescent="0.25">
      <c r="A1205" s="16" t="s">
        <v>288</v>
      </c>
      <c r="B1205" s="9"/>
      <c r="C1205" s="3" t="s">
        <v>30</v>
      </c>
      <c r="D1205" s="5">
        <v>9.7000000000000003E-2</v>
      </c>
      <c r="E1205" s="6">
        <f>(E$1212*D1205)</f>
        <v>38.800000000000004</v>
      </c>
      <c r="I1205" s="25" t="s">
        <v>295</v>
      </c>
      <c r="J1205" s="9"/>
      <c r="K1205" s="3" t="s">
        <v>296</v>
      </c>
      <c r="L1205" s="5">
        <v>1.5E-3</v>
      </c>
      <c r="M1205" s="6">
        <f>(M1215*L1205)</f>
        <v>1.5</v>
      </c>
    </row>
    <row r="1206" spans="1:13" x14ac:dyDescent="0.25">
      <c r="A1206" s="16" t="s">
        <v>282</v>
      </c>
      <c r="B1206" s="9"/>
      <c r="C1206" s="15" t="s">
        <v>70</v>
      </c>
      <c r="D1206" s="5">
        <v>5.0000000000000001E-3</v>
      </c>
      <c r="E1206" s="6">
        <f>(E$1212*D1206)</f>
        <v>2</v>
      </c>
      <c r="I1206" s="16" t="s">
        <v>99</v>
      </c>
      <c r="J1206" s="9"/>
      <c r="K1206" s="3" t="s">
        <v>24</v>
      </c>
      <c r="L1206" s="5">
        <v>0.11700000000000001</v>
      </c>
      <c r="M1206" s="6">
        <f>(M1215*L1206)</f>
        <v>117</v>
      </c>
    </row>
    <row r="1207" spans="1:13" ht="27.6" x14ac:dyDescent="0.25">
      <c r="A1207" s="26" t="s">
        <v>103</v>
      </c>
      <c r="B1207" s="9"/>
      <c r="C1207" s="15" t="s">
        <v>124</v>
      </c>
      <c r="D1207" s="5">
        <v>0.24399999999999999</v>
      </c>
      <c r="E1207" s="6">
        <f>(E$1212*D1207)</f>
        <v>97.6</v>
      </c>
      <c r="I1207" s="16" t="s">
        <v>100</v>
      </c>
      <c r="J1207" s="9"/>
      <c r="K1207" s="3" t="s">
        <v>28</v>
      </c>
      <c r="L1207" s="5">
        <v>9.7100000000000006E-2</v>
      </c>
      <c r="M1207" s="6">
        <f>(M1215*L1207)</f>
        <v>97.100000000000009</v>
      </c>
    </row>
    <row r="1208" spans="1:13" x14ac:dyDescent="0.25">
      <c r="A1208" s="26" t="s">
        <v>283</v>
      </c>
      <c r="B1208" s="9"/>
      <c r="C1208" s="15" t="s">
        <v>153</v>
      </c>
      <c r="D1208" s="32">
        <v>8.5000000000000006E-2</v>
      </c>
      <c r="E1208" s="6">
        <f>(E$1212*D1208)</f>
        <v>34</v>
      </c>
      <c r="I1208" s="16" t="s">
        <v>288</v>
      </c>
      <c r="J1208" s="9"/>
      <c r="K1208" s="3" t="s">
        <v>30</v>
      </c>
      <c r="L1208" s="5">
        <v>9.7100000000000006E-2</v>
      </c>
      <c r="M1208" s="6">
        <f>(M1215*L1208)</f>
        <v>97.100000000000009</v>
      </c>
    </row>
    <row r="1209" spans="1:13" x14ac:dyDescent="0.25">
      <c r="A1209" s="26" t="s">
        <v>131</v>
      </c>
      <c r="B1209" s="9"/>
      <c r="C1209" s="15" t="s">
        <v>130</v>
      </c>
      <c r="D1209" s="5">
        <v>0.03</v>
      </c>
      <c r="E1209" s="6">
        <f>(E$1212*D1209)</f>
        <v>12</v>
      </c>
      <c r="I1209" s="16" t="s">
        <v>282</v>
      </c>
      <c r="J1209" s="9"/>
      <c r="K1209" s="15" t="s">
        <v>70</v>
      </c>
      <c r="L1209" s="5">
        <v>5.0000000000000001E-3</v>
      </c>
      <c r="M1209" s="6">
        <f>(M1215*L1209)</f>
        <v>5</v>
      </c>
    </row>
    <row r="1210" spans="1:13" ht="27.6" x14ac:dyDescent="0.25">
      <c r="A1210" s="62" t="s">
        <v>133</v>
      </c>
      <c r="B1210" s="9"/>
      <c r="C1210" s="15" t="s">
        <v>153</v>
      </c>
      <c r="D1210" s="5">
        <v>0.155</v>
      </c>
      <c r="E1210" s="6">
        <f>(E$1212*D1210)</f>
        <v>62</v>
      </c>
      <c r="I1210" s="26" t="s">
        <v>103</v>
      </c>
      <c r="J1210" s="9"/>
      <c r="K1210" s="15" t="s">
        <v>124</v>
      </c>
      <c r="L1210" s="5">
        <v>0.2437</v>
      </c>
      <c r="M1210" s="6">
        <f>(M1215*L1210)</f>
        <v>243.7</v>
      </c>
    </row>
    <row r="1211" spans="1:13" x14ac:dyDescent="0.25">
      <c r="A1211" s="63"/>
      <c r="B1211" s="9"/>
      <c r="C1211" s="15" t="s">
        <v>20</v>
      </c>
      <c r="D1211" s="5">
        <v>1.5E-3</v>
      </c>
      <c r="E1211" s="6">
        <f>(E$1212*D1211)</f>
        <v>0.6</v>
      </c>
      <c r="I1211" s="26" t="s">
        <v>283</v>
      </c>
      <c r="J1211" s="9"/>
      <c r="K1211" s="15" t="s">
        <v>153</v>
      </c>
      <c r="L1211" s="32">
        <v>8.5000000000000006E-2</v>
      </c>
      <c r="M1211" s="6">
        <f>(M1215*L1211)</f>
        <v>85</v>
      </c>
    </row>
    <row r="1212" spans="1:13" x14ac:dyDescent="0.25">
      <c r="A1212" s="2"/>
      <c r="B1212" s="12"/>
      <c r="C1212" s="2"/>
      <c r="D1212" s="23">
        <f>SUM(D1195:D1211)</f>
        <v>0.99999999999999989</v>
      </c>
      <c r="E1212" s="19">
        <v>400</v>
      </c>
      <c r="I1212" s="26" t="s">
        <v>131</v>
      </c>
      <c r="J1212" s="9"/>
      <c r="K1212" s="15" t="s">
        <v>130</v>
      </c>
      <c r="L1212" s="5">
        <v>0.03</v>
      </c>
      <c r="M1212" s="6">
        <f>(M1215*L1212)</f>
        <v>30</v>
      </c>
    </row>
    <row r="1213" spans="1:13" x14ac:dyDescent="0.25">
      <c r="E1213" s="24"/>
      <c r="I1213" s="62" t="s">
        <v>133</v>
      </c>
      <c r="J1213" s="9"/>
      <c r="K1213" s="15" t="s">
        <v>153</v>
      </c>
      <c r="L1213" s="5">
        <v>0.1545</v>
      </c>
      <c r="M1213" s="6">
        <f>(M1215*L1213)</f>
        <v>154.5</v>
      </c>
    </row>
    <row r="1214" spans="1:13" x14ac:dyDescent="0.25">
      <c r="I1214" s="63"/>
      <c r="J1214" s="9"/>
      <c r="K1214" s="15" t="s">
        <v>20</v>
      </c>
      <c r="L1214" s="5">
        <v>1.5E-3</v>
      </c>
      <c r="M1214" s="6">
        <f>(M1215*L1214)</f>
        <v>1.5</v>
      </c>
    </row>
    <row r="1215" spans="1:13" x14ac:dyDescent="0.25">
      <c r="I1215" s="2"/>
      <c r="J1215" s="12"/>
      <c r="K1215" s="2"/>
      <c r="L1215" s="23">
        <f>SUM(L1198:L1214)</f>
        <v>1</v>
      </c>
      <c r="M1215" s="19">
        <v>1000</v>
      </c>
    </row>
    <row r="1216" spans="1:13" x14ac:dyDescent="0.25">
      <c r="K1216" s="33">
        <f>SUM(L1203+L1205+L1206+L1207+L1208+L1210+L1211*0.5+L1212+L1213*0.5)</f>
        <v>0.70865000000000011</v>
      </c>
      <c r="M1216" s="24">
        <f>SUM(M1198:M1214)</f>
        <v>1000</v>
      </c>
    </row>
    <row r="1217" spans="1:14" x14ac:dyDescent="0.25">
      <c r="A1217" s="54" t="s">
        <v>309</v>
      </c>
      <c r="B1217" s="54"/>
      <c r="C1217" s="54"/>
      <c r="D1217" s="54"/>
      <c r="E1217" s="54"/>
    </row>
    <row r="1218" spans="1:14" x14ac:dyDescent="0.25">
      <c r="A1218" s="59" t="s">
        <v>311</v>
      </c>
      <c r="B1218" s="59"/>
      <c r="C1218" s="59"/>
      <c r="D1218" s="59"/>
      <c r="E1218" s="59"/>
    </row>
    <row r="1219" spans="1:14" x14ac:dyDescent="0.25">
      <c r="A1219" s="3" t="s">
        <v>3</v>
      </c>
      <c r="B1219" s="3" t="s">
        <v>97</v>
      </c>
      <c r="D1219" s="3" t="s">
        <v>5</v>
      </c>
      <c r="E1219" s="3" t="s">
        <v>7</v>
      </c>
      <c r="F1219" s="3" t="s">
        <v>313</v>
      </c>
    </row>
    <row r="1220" spans="1:14" x14ac:dyDescent="0.25">
      <c r="A1220" s="60" t="s">
        <v>293</v>
      </c>
      <c r="B1220" s="34"/>
      <c r="C1220" s="3" t="s">
        <v>10</v>
      </c>
      <c r="D1220" s="5">
        <v>0.12959999999999999</v>
      </c>
      <c r="E1220" s="35">
        <f>(E1238*D1220)</f>
        <v>129.6</v>
      </c>
      <c r="F1220" s="36">
        <v>200</v>
      </c>
      <c r="I1220" s="54" t="s">
        <v>310</v>
      </c>
      <c r="J1220" s="54"/>
      <c r="K1220" s="54"/>
      <c r="L1220" s="54"/>
      <c r="M1220" s="54"/>
    </row>
    <row r="1221" spans="1:14" x14ac:dyDescent="0.25">
      <c r="A1221" s="61"/>
      <c r="B1221" s="34"/>
      <c r="C1221" s="3" t="s">
        <v>232</v>
      </c>
      <c r="D1221" s="5">
        <v>2E-3</v>
      </c>
      <c r="E1221" s="35">
        <f>(E1238*D1221)</f>
        <v>2</v>
      </c>
      <c r="F1221" s="36"/>
      <c r="I1221" s="59" t="s">
        <v>312</v>
      </c>
      <c r="J1221" s="59"/>
      <c r="K1221" s="59"/>
      <c r="L1221" s="59"/>
      <c r="M1221" s="59"/>
    </row>
    <row r="1222" spans="1:14" x14ac:dyDescent="0.25">
      <c r="A1222" s="61"/>
      <c r="B1222" s="34" t="s">
        <v>314</v>
      </c>
      <c r="C1222" s="3" t="s">
        <v>166</v>
      </c>
      <c r="D1222" s="5">
        <v>0.03</v>
      </c>
      <c r="E1222" s="35">
        <f>(E1238*D1222)</f>
        <v>30</v>
      </c>
      <c r="F1222" s="36"/>
      <c r="I1222" s="3" t="s">
        <v>3</v>
      </c>
      <c r="J1222" s="3" t="s">
        <v>97</v>
      </c>
      <c r="L1222" s="3" t="s">
        <v>5</v>
      </c>
      <c r="M1222" s="3" t="s">
        <v>7</v>
      </c>
      <c r="N1222" s="3" t="s">
        <v>313</v>
      </c>
    </row>
    <row r="1223" spans="1:14" x14ac:dyDescent="0.25">
      <c r="A1223" s="61"/>
      <c r="B1223" s="34"/>
      <c r="C1223" s="3" t="s">
        <v>13</v>
      </c>
      <c r="D1223" s="5">
        <v>2E-3</v>
      </c>
      <c r="E1223" s="35">
        <f>(E1238*D1223)</f>
        <v>2</v>
      </c>
      <c r="F1223" s="36"/>
      <c r="I1223" s="60" t="s">
        <v>293</v>
      </c>
      <c r="J1223" s="34"/>
      <c r="K1223" s="3" t="s">
        <v>10</v>
      </c>
      <c r="L1223" s="5">
        <v>0.12959999999999999</v>
      </c>
      <c r="M1223" s="35">
        <f>(M1241*L1223)</f>
        <v>129.6</v>
      </c>
      <c r="N1223" s="36">
        <v>500</v>
      </c>
    </row>
    <row r="1224" spans="1:14" x14ac:dyDescent="0.25">
      <c r="A1224" s="61"/>
      <c r="B1224" s="34" t="s">
        <v>314</v>
      </c>
      <c r="C1224" s="3" t="s">
        <v>20</v>
      </c>
      <c r="D1224" s="5">
        <v>5.0000000000000001E-4</v>
      </c>
      <c r="E1224" s="35">
        <f>(E1238*D1224)</f>
        <v>0.5</v>
      </c>
      <c r="F1224" s="36">
        <v>230</v>
      </c>
      <c r="I1224" s="61"/>
      <c r="J1224" s="34"/>
      <c r="K1224" s="3" t="s">
        <v>232</v>
      </c>
      <c r="L1224" s="5">
        <v>2E-3</v>
      </c>
      <c r="M1224" s="35">
        <f>(M1241*L1224)</f>
        <v>2</v>
      </c>
      <c r="N1224" s="36"/>
    </row>
    <row r="1225" spans="1:14" x14ac:dyDescent="0.25">
      <c r="A1225" s="61"/>
      <c r="B1225" s="37"/>
      <c r="C1225" s="3" t="s">
        <v>51</v>
      </c>
      <c r="D1225" s="5">
        <v>2.5000000000000001E-3</v>
      </c>
      <c r="E1225" s="35">
        <f>(E1238*D1225)</f>
        <v>2.5</v>
      </c>
      <c r="F1225" s="36">
        <v>400</v>
      </c>
      <c r="I1225" s="61"/>
      <c r="J1225" s="34" t="s">
        <v>314</v>
      </c>
      <c r="K1225" s="3" t="s">
        <v>166</v>
      </c>
      <c r="L1225" s="5">
        <v>0.03</v>
      </c>
      <c r="M1225" s="35">
        <f>(M1241*L1225)</f>
        <v>30</v>
      </c>
      <c r="N1225" s="36"/>
    </row>
    <row r="1226" spans="1:14" x14ac:dyDescent="0.25">
      <c r="A1226" s="61"/>
      <c r="B1226" s="37"/>
      <c r="C1226" s="3" t="s">
        <v>20</v>
      </c>
      <c r="D1226" s="5">
        <v>5.0000000000000001E-4</v>
      </c>
      <c r="E1226" s="35">
        <f>(E1238*D1226)</f>
        <v>0.5</v>
      </c>
      <c r="F1226" s="36"/>
      <c r="I1226" s="61"/>
      <c r="J1226" s="34"/>
      <c r="K1226" s="3" t="s">
        <v>13</v>
      </c>
      <c r="L1226" s="5">
        <v>2E-3</v>
      </c>
      <c r="M1226" s="35">
        <f>(M1241*L1226)</f>
        <v>2</v>
      </c>
      <c r="N1226" s="36"/>
    </row>
    <row r="1227" spans="1:14" x14ac:dyDescent="0.25">
      <c r="A1227" s="25" t="s">
        <v>295</v>
      </c>
      <c r="B1227" s="37"/>
      <c r="C1227" s="3" t="s">
        <v>296</v>
      </c>
      <c r="D1227" s="5">
        <v>1.5E-3</v>
      </c>
      <c r="E1227" s="35">
        <f>(E1238*D1227)</f>
        <v>1.5</v>
      </c>
      <c r="F1227" s="36">
        <v>1062</v>
      </c>
      <c r="I1227" s="61"/>
      <c r="J1227" s="34" t="s">
        <v>314</v>
      </c>
      <c r="K1227" s="3" t="s">
        <v>20</v>
      </c>
      <c r="L1227" s="5">
        <v>5.0000000000000001E-4</v>
      </c>
      <c r="M1227" s="35">
        <f>(M1241*L1227)</f>
        <v>0.5</v>
      </c>
      <c r="N1227" s="36">
        <v>600</v>
      </c>
    </row>
    <row r="1228" spans="1:14" x14ac:dyDescent="0.25">
      <c r="A1228" s="25"/>
      <c r="B1228" s="37"/>
      <c r="C1228" s="3" t="s">
        <v>20</v>
      </c>
      <c r="D1228" s="5">
        <v>5.0000000000000001E-4</v>
      </c>
      <c r="E1228" s="35">
        <f>(E1238*D1228)</f>
        <v>0.5</v>
      </c>
      <c r="F1228" s="36"/>
      <c r="I1228" s="61"/>
      <c r="J1228" s="37" t="s">
        <v>315</v>
      </c>
      <c r="K1228" s="3" t="s">
        <v>51</v>
      </c>
      <c r="L1228" s="5">
        <v>2.5999999999999999E-3</v>
      </c>
      <c r="M1228" s="35">
        <f>(M1241*L1228)</f>
        <v>2.6</v>
      </c>
      <c r="N1228" s="36">
        <v>800</v>
      </c>
    </row>
    <row r="1229" spans="1:14" x14ac:dyDescent="0.25">
      <c r="A1229" s="16" t="s">
        <v>99</v>
      </c>
      <c r="B1229" s="37" t="s">
        <v>317</v>
      </c>
      <c r="C1229" s="3" t="s">
        <v>24</v>
      </c>
      <c r="D1229" s="5">
        <v>0.11700000000000001</v>
      </c>
      <c r="E1229" s="35">
        <f>(E1238*D1229)</f>
        <v>117</v>
      </c>
      <c r="F1229" s="36">
        <v>468</v>
      </c>
      <c r="I1229" s="61"/>
      <c r="J1229" s="37"/>
      <c r="K1229" s="3" t="s">
        <v>20</v>
      </c>
      <c r="L1229" s="5">
        <v>5.0000000000000001E-4</v>
      </c>
      <c r="M1229" s="35">
        <f>(M1241*L1229)</f>
        <v>0.5</v>
      </c>
      <c r="N1229" s="36"/>
    </row>
    <row r="1230" spans="1:14" x14ac:dyDescent="0.25">
      <c r="A1230" s="16" t="s">
        <v>100</v>
      </c>
      <c r="B1230" s="37"/>
      <c r="C1230" s="3" t="s">
        <v>28</v>
      </c>
      <c r="D1230" s="5">
        <v>9.7100000000000006E-2</v>
      </c>
      <c r="E1230" s="35">
        <f>(E1238*D1230)</f>
        <v>97.100000000000009</v>
      </c>
      <c r="F1230" s="36">
        <v>747</v>
      </c>
      <c r="I1230" s="25" t="s">
        <v>295</v>
      </c>
      <c r="J1230" s="37" t="s">
        <v>316</v>
      </c>
      <c r="K1230" s="3" t="s">
        <v>296</v>
      </c>
      <c r="L1230" s="5">
        <v>3.0000000000000001E-3</v>
      </c>
      <c r="M1230" s="35">
        <f>(M1241*L1230)</f>
        <v>3</v>
      </c>
      <c r="N1230" s="36">
        <v>1130</v>
      </c>
    </row>
    <row r="1231" spans="1:14" x14ac:dyDescent="0.25">
      <c r="A1231" s="16" t="s">
        <v>288</v>
      </c>
      <c r="B1231" s="37" t="s">
        <v>318</v>
      </c>
      <c r="C1231" s="3" t="s">
        <v>30</v>
      </c>
      <c r="D1231" s="5">
        <v>9.7100000000000006E-2</v>
      </c>
      <c r="E1231" s="35">
        <f>(E1238*D1231)</f>
        <v>97.100000000000009</v>
      </c>
      <c r="F1231" s="36">
        <v>989</v>
      </c>
      <c r="I1231" s="25"/>
      <c r="J1231" s="37"/>
      <c r="K1231" s="3" t="s">
        <v>20</v>
      </c>
      <c r="L1231" s="5">
        <v>5.0000000000000001E-4</v>
      </c>
      <c r="M1231" s="35">
        <f>(M1241*L1231)</f>
        <v>0.5</v>
      </c>
      <c r="N1231" s="36"/>
    </row>
    <row r="1232" spans="1:14" x14ac:dyDescent="0.25">
      <c r="A1232" s="16" t="s">
        <v>282</v>
      </c>
      <c r="B1232" s="37"/>
      <c r="C1232" s="15" t="s">
        <v>70</v>
      </c>
      <c r="D1232" s="5">
        <v>5.0000000000000001E-3</v>
      </c>
      <c r="E1232" s="35">
        <f>(E1238*D1232)</f>
        <v>5</v>
      </c>
      <c r="F1232" s="36">
        <v>700</v>
      </c>
      <c r="I1232" s="16" t="s">
        <v>99</v>
      </c>
      <c r="J1232" s="37" t="s">
        <v>317</v>
      </c>
      <c r="K1232" s="3" t="s">
        <v>24</v>
      </c>
      <c r="L1232" s="5">
        <v>0.1166</v>
      </c>
      <c r="M1232" s="35">
        <f>(M1241*L1232)</f>
        <v>116.6</v>
      </c>
      <c r="N1232" s="36">
        <v>800</v>
      </c>
    </row>
    <row r="1233" spans="1:14" ht="27.6" x14ac:dyDescent="0.25">
      <c r="A1233" s="26" t="s">
        <v>103</v>
      </c>
      <c r="B1233" s="37" t="s">
        <v>319</v>
      </c>
      <c r="C1233" s="15" t="s">
        <v>124</v>
      </c>
      <c r="D1233" s="5">
        <v>0.2437</v>
      </c>
      <c r="E1233" s="35">
        <f>(E1238*D1233)</f>
        <v>243.7</v>
      </c>
      <c r="F1233" s="36">
        <v>1372</v>
      </c>
      <c r="I1233" s="16" t="s">
        <v>100</v>
      </c>
      <c r="J1233" s="37" t="s">
        <v>317</v>
      </c>
      <c r="K1233" s="3" t="s">
        <v>28</v>
      </c>
      <c r="L1233" s="5">
        <v>9.6699999999999994E-2</v>
      </c>
      <c r="M1233" s="35">
        <f>(M1241*L1233)</f>
        <v>96.699999999999989</v>
      </c>
      <c r="N1233" s="36">
        <v>900</v>
      </c>
    </row>
    <row r="1234" spans="1:14" x14ac:dyDescent="0.25">
      <c r="A1234" s="26" t="s">
        <v>283</v>
      </c>
      <c r="B1234" s="37"/>
      <c r="C1234" s="15" t="s">
        <v>153</v>
      </c>
      <c r="D1234" s="32">
        <v>8.5000000000000006E-2</v>
      </c>
      <c r="E1234" s="35">
        <f>(E1238*D1234)</f>
        <v>85</v>
      </c>
      <c r="F1234" s="36">
        <v>727</v>
      </c>
      <c r="I1234" s="16" t="s">
        <v>288</v>
      </c>
      <c r="J1234" s="37" t="s">
        <v>317</v>
      </c>
      <c r="K1234" s="3" t="s">
        <v>30</v>
      </c>
      <c r="L1234" s="5">
        <v>9.6699999999999994E-2</v>
      </c>
      <c r="M1234" s="35">
        <f>(M1241*L1234)</f>
        <v>96.699999999999989</v>
      </c>
      <c r="N1234" s="36">
        <v>1130</v>
      </c>
    </row>
    <row r="1235" spans="1:14" x14ac:dyDescent="0.25">
      <c r="A1235" s="26" t="s">
        <v>131</v>
      </c>
      <c r="B1235" s="37" t="s">
        <v>318</v>
      </c>
      <c r="C1235" s="15" t="s">
        <v>130</v>
      </c>
      <c r="D1235" s="5">
        <v>0.03</v>
      </c>
      <c r="E1235" s="35">
        <f>(E1238*D1235)</f>
        <v>30</v>
      </c>
      <c r="F1235" s="36">
        <v>727</v>
      </c>
      <c r="I1235" s="16" t="s">
        <v>282</v>
      </c>
      <c r="J1235" s="37"/>
      <c r="K1235" s="15" t="s">
        <v>70</v>
      </c>
      <c r="L1235" s="5">
        <v>5.0000000000000001E-3</v>
      </c>
      <c r="M1235" s="35">
        <f>(M1241*L1235)</f>
        <v>5</v>
      </c>
      <c r="N1235" s="36">
        <v>100</v>
      </c>
    </row>
    <row r="1236" spans="1:14" ht="27.6" x14ac:dyDescent="0.25">
      <c r="A1236" s="62" t="s">
        <v>133</v>
      </c>
      <c r="B1236" s="37"/>
      <c r="C1236" s="15" t="s">
        <v>153</v>
      </c>
      <c r="D1236" s="5">
        <v>0.1545</v>
      </c>
      <c r="E1236" s="35">
        <f>(E1238*D1236)</f>
        <v>154.5</v>
      </c>
      <c r="F1236" s="36" t="s">
        <v>320</v>
      </c>
      <c r="I1236" s="26" t="s">
        <v>103</v>
      </c>
      <c r="J1236" s="37" t="s">
        <v>317</v>
      </c>
      <c r="K1236" s="15" t="s">
        <v>124</v>
      </c>
      <c r="L1236" s="5">
        <v>0.24329999999999999</v>
      </c>
      <c r="M1236" s="35">
        <f>(M1241*L1236)</f>
        <v>243.29999999999998</v>
      </c>
      <c r="N1236" s="36">
        <v>1372</v>
      </c>
    </row>
    <row r="1237" spans="1:14" x14ac:dyDescent="0.25">
      <c r="A1237" s="63"/>
      <c r="B1237" s="37" t="s">
        <v>315</v>
      </c>
      <c r="C1237" s="15" t="s">
        <v>20</v>
      </c>
      <c r="D1237" s="5">
        <v>1.5E-3</v>
      </c>
      <c r="E1237" s="35">
        <f>(E1238*D1237)</f>
        <v>1.5</v>
      </c>
      <c r="F1237" s="36"/>
      <c r="I1237" s="26" t="s">
        <v>283</v>
      </c>
      <c r="J1237" s="37"/>
      <c r="K1237" s="15" t="s">
        <v>153</v>
      </c>
      <c r="L1237" s="32">
        <v>8.5000000000000006E-2</v>
      </c>
      <c r="M1237" s="35">
        <f>(M1241*L1237)</f>
        <v>85</v>
      </c>
      <c r="N1237" s="36">
        <v>900</v>
      </c>
    </row>
    <row r="1238" spans="1:14" x14ac:dyDescent="0.25">
      <c r="A1238" s="2"/>
      <c r="B1238" s="12"/>
      <c r="C1238" s="2"/>
      <c r="D1238" s="23">
        <f>SUM(D1220:D1237)</f>
        <v>1</v>
      </c>
      <c r="E1238" s="19">
        <v>1000</v>
      </c>
      <c r="I1238" s="26" t="s">
        <v>131</v>
      </c>
      <c r="J1238" s="37" t="s">
        <v>315</v>
      </c>
      <c r="K1238" s="15" t="s">
        <v>130</v>
      </c>
      <c r="L1238" s="5">
        <v>0.03</v>
      </c>
      <c r="M1238" s="35">
        <f>(M1241*L1238)</f>
        <v>30</v>
      </c>
      <c r="N1238" s="36">
        <v>1100</v>
      </c>
    </row>
    <row r="1239" spans="1:14" x14ac:dyDescent="0.25">
      <c r="C1239" s="33">
        <f>SUM(D1225+D1227+D1229+D1230+D1231+D1233+D1234*0.5+D1235+D1236*0.5)</f>
        <v>0.70865000000000011</v>
      </c>
      <c r="E1239" s="24">
        <f>SUM(E1220:E1237)</f>
        <v>1000</v>
      </c>
      <c r="I1239" s="62" t="s">
        <v>133</v>
      </c>
      <c r="J1239" s="37"/>
      <c r="K1239" s="15" t="s">
        <v>153</v>
      </c>
      <c r="L1239" s="5">
        <v>0.1545</v>
      </c>
      <c r="M1239" s="35">
        <f>(M1241*L1239)</f>
        <v>154.5</v>
      </c>
      <c r="N1239" s="36">
        <v>700</v>
      </c>
    </row>
    <row r="1240" spans="1:14" x14ac:dyDescent="0.25">
      <c r="I1240" s="63"/>
      <c r="J1240" s="37" t="s">
        <v>315</v>
      </c>
      <c r="K1240" s="15" t="s">
        <v>20</v>
      </c>
      <c r="L1240" s="5">
        <v>1.5E-3</v>
      </c>
      <c r="M1240" s="35">
        <f>(M1241*L1240)</f>
        <v>1.5</v>
      </c>
      <c r="N1240" s="36"/>
    </row>
    <row r="1241" spans="1:14" x14ac:dyDescent="0.25">
      <c r="I1241" s="2"/>
      <c r="J1241" s="12"/>
      <c r="K1241" s="2"/>
      <c r="L1241" s="23">
        <f>SUM(L1223:L1240)</f>
        <v>0.99999999999999989</v>
      </c>
      <c r="M1241" s="19">
        <v>1000</v>
      </c>
    </row>
    <row r="1242" spans="1:14" x14ac:dyDescent="0.25">
      <c r="K1242" s="33">
        <f>SUM(L1228+L1230+L1232+L1233+L1234+L1236+L1237*0.5+L1238+L1239*0.5)</f>
        <v>0.70865</v>
      </c>
      <c r="M1242" s="24">
        <f>SUM(M1223:M1240)</f>
        <v>999.99999999999989</v>
      </c>
    </row>
    <row r="1244" spans="1:14" x14ac:dyDescent="0.25">
      <c r="A1244" s="54" t="s">
        <v>321</v>
      </c>
      <c r="B1244" s="54"/>
      <c r="C1244" s="54"/>
      <c r="D1244" s="54"/>
      <c r="E1244" s="54"/>
    </row>
    <row r="1245" spans="1:14" x14ac:dyDescent="0.25">
      <c r="A1245" s="59" t="s">
        <v>312</v>
      </c>
      <c r="B1245" s="59"/>
      <c r="C1245" s="59"/>
      <c r="D1245" s="59"/>
      <c r="E1245" s="59"/>
    </row>
    <row r="1246" spans="1:14" ht="15" x14ac:dyDescent="0.25">
      <c r="A1246" s="3" t="s">
        <v>3</v>
      </c>
      <c r="B1246" s="3" t="s">
        <v>97</v>
      </c>
      <c r="D1246" s="3" t="s">
        <v>5</v>
      </c>
      <c r="E1246" s="3" t="s">
        <v>7</v>
      </c>
      <c r="F1246" s="3" t="s">
        <v>313</v>
      </c>
      <c r="H1246" s="38"/>
    </row>
    <row r="1247" spans="1:14" x14ac:dyDescent="0.25">
      <c r="A1247" s="60" t="s">
        <v>293</v>
      </c>
      <c r="B1247" s="34"/>
      <c r="C1247" s="3" t="s">
        <v>10</v>
      </c>
      <c r="D1247" s="5">
        <v>0.12959999999999999</v>
      </c>
      <c r="E1247" s="35">
        <f>(E1265*D1247)</f>
        <v>129.6</v>
      </c>
      <c r="F1247" s="36">
        <v>500</v>
      </c>
      <c r="I1247" s="54" t="s">
        <v>322</v>
      </c>
      <c r="J1247" s="54"/>
      <c r="K1247" s="54"/>
      <c r="L1247" s="54"/>
      <c r="M1247" s="54"/>
    </row>
    <row r="1248" spans="1:14" x14ac:dyDescent="0.25">
      <c r="A1248" s="61"/>
      <c r="B1248" s="34"/>
      <c r="C1248" s="3" t="s">
        <v>232</v>
      </c>
      <c r="D1248" s="5">
        <v>2E-3</v>
      </c>
      <c r="E1248" s="35">
        <f>(E1265*D1248)</f>
        <v>2</v>
      </c>
      <c r="F1248" s="36"/>
      <c r="I1248" s="59" t="s">
        <v>323</v>
      </c>
      <c r="J1248" s="59"/>
      <c r="K1248" s="59"/>
      <c r="L1248" s="59"/>
      <c r="M1248" s="59"/>
    </row>
    <row r="1249" spans="1:14" x14ac:dyDescent="0.25">
      <c r="A1249" s="61"/>
      <c r="B1249" s="34" t="s">
        <v>314</v>
      </c>
      <c r="C1249" s="3" t="s">
        <v>166</v>
      </c>
      <c r="D1249" s="5">
        <v>0.03</v>
      </c>
      <c r="E1249" s="35">
        <f>(E1265*D1249)</f>
        <v>30</v>
      </c>
      <c r="F1249" s="36"/>
      <c r="I1249" s="3" t="s">
        <v>3</v>
      </c>
      <c r="J1249" s="3" t="s">
        <v>97</v>
      </c>
      <c r="L1249" s="3" t="s">
        <v>5</v>
      </c>
      <c r="M1249" s="3" t="s">
        <v>7</v>
      </c>
      <c r="N1249" s="3" t="s">
        <v>313</v>
      </c>
    </row>
    <row r="1250" spans="1:14" x14ac:dyDescent="0.25">
      <c r="A1250" s="61"/>
      <c r="B1250" s="34" t="s">
        <v>315</v>
      </c>
      <c r="C1250" s="3" t="s">
        <v>13</v>
      </c>
      <c r="D1250" s="5">
        <v>2E-3</v>
      </c>
      <c r="E1250" s="35">
        <f>(E1265*D1250)</f>
        <v>2</v>
      </c>
      <c r="F1250" s="36"/>
      <c r="I1250" s="60" t="s">
        <v>293</v>
      </c>
      <c r="J1250" s="34"/>
      <c r="K1250" s="3" t="s">
        <v>10</v>
      </c>
      <c r="L1250" s="5">
        <v>0.12959999999999999</v>
      </c>
      <c r="M1250" s="35">
        <f>(M1268*L1250)</f>
        <v>129.6</v>
      </c>
      <c r="N1250" s="36">
        <v>500</v>
      </c>
    </row>
    <row r="1251" spans="1:14" x14ac:dyDescent="0.25">
      <c r="A1251" s="61"/>
      <c r="B1251" s="34" t="s">
        <v>314</v>
      </c>
      <c r="C1251" s="3" t="s">
        <v>20</v>
      </c>
      <c r="D1251" s="5">
        <v>5.0000000000000001E-4</v>
      </c>
      <c r="E1251" s="35">
        <f>(E1265*D1251)</f>
        <v>0.5</v>
      </c>
      <c r="F1251" s="36">
        <v>600</v>
      </c>
      <c r="I1251" s="61"/>
      <c r="J1251" s="34"/>
      <c r="K1251" s="3" t="s">
        <v>232</v>
      </c>
      <c r="L1251" s="5">
        <v>2E-3</v>
      </c>
      <c r="M1251" s="35">
        <f>(M1268*L1251)</f>
        <v>2</v>
      </c>
      <c r="N1251" s="36"/>
    </row>
    <row r="1252" spans="1:14" x14ac:dyDescent="0.25">
      <c r="A1252" s="61"/>
      <c r="B1252" s="37" t="s">
        <v>315</v>
      </c>
      <c r="C1252" s="3" t="s">
        <v>51</v>
      </c>
      <c r="D1252" s="5">
        <v>2.5999999999999999E-3</v>
      </c>
      <c r="E1252" s="35">
        <f>(E1265*D1252)</f>
        <v>2.6</v>
      </c>
      <c r="F1252" s="36">
        <v>800</v>
      </c>
      <c r="I1252" s="61"/>
      <c r="J1252" s="34" t="s">
        <v>314</v>
      </c>
      <c r="K1252" s="3" t="s">
        <v>166</v>
      </c>
      <c r="L1252" s="5">
        <v>0.03</v>
      </c>
      <c r="M1252" s="35">
        <f>(M1268*L1252)</f>
        <v>30</v>
      </c>
      <c r="N1252" s="36"/>
    </row>
    <row r="1253" spans="1:14" x14ac:dyDescent="0.25">
      <c r="A1253" s="61"/>
      <c r="B1253" s="37"/>
      <c r="C1253" s="3" t="s">
        <v>20</v>
      </c>
      <c r="D1253" s="5">
        <v>5.0000000000000001E-4</v>
      </c>
      <c r="E1253" s="35">
        <f>(E1265*D1253)</f>
        <v>0.5</v>
      </c>
      <c r="F1253" s="36"/>
      <c r="I1253" s="61"/>
      <c r="J1253" s="34" t="s">
        <v>315</v>
      </c>
      <c r="K1253" s="3" t="s">
        <v>13</v>
      </c>
      <c r="L1253" s="5">
        <v>2E-3</v>
      </c>
      <c r="M1253" s="35">
        <f>(M1268*L1253)</f>
        <v>2</v>
      </c>
      <c r="N1253" s="36"/>
    </row>
    <row r="1254" spans="1:14" x14ac:dyDescent="0.25">
      <c r="A1254" s="25" t="s">
        <v>324</v>
      </c>
      <c r="B1254" s="37" t="s">
        <v>316</v>
      </c>
      <c r="C1254" s="3" t="s">
        <v>296</v>
      </c>
      <c r="D1254" s="5">
        <v>4.4999999999999997E-3</v>
      </c>
      <c r="E1254" s="35">
        <f>(E1265*D1254)</f>
        <v>4.5</v>
      </c>
      <c r="F1254" s="36">
        <v>1130</v>
      </c>
      <c r="I1254" s="61"/>
      <c r="J1254" s="34" t="s">
        <v>314</v>
      </c>
      <c r="K1254" s="3" t="s">
        <v>20</v>
      </c>
      <c r="L1254" s="5">
        <v>5.0000000000000001E-4</v>
      </c>
      <c r="M1254" s="35">
        <f>(M1268*L1254)</f>
        <v>0.5</v>
      </c>
      <c r="N1254" s="36">
        <v>600</v>
      </c>
    </row>
    <row r="1255" spans="1:14" x14ac:dyDescent="0.25">
      <c r="A1255" s="25"/>
      <c r="B1255" s="37"/>
      <c r="C1255" s="3" t="s">
        <v>20</v>
      </c>
      <c r="D1255" s="5">
        <v>5.0000000000000001E-4</v>
      </c>
      <c r="E1255" s="35">
        <f>(E1265*D1255)</f>
        <v>0.5</v>
      </c>
      <c r="F1255" s="36"/>
      <c r="I1255" s="61"/>
      <c r="J1255" s="37" t="s">
        <v>315</v>
      </c>
      <c r="K1255" s="3" t="s">
        <v>51</v>
      </c>
      <c r="L1255" s="5">
        <v>2.0999999999999999E-3</v>
      </c>
      <c r="M1255" s="35">
        <f>(M1268*L1255)</f>
        <v>2.1</v>
      </c>
      <c r="N1255" s="36">
        <v>800</v>
      </c>
    </row>
    <row r="1256" spans="1:14" x14ac:dyDescent="0.25">
      <c r="A1256" s="16" t="s">
        <v>99</v>
      </c>
      <c r="B1256" s="37" t="s">
        <v>317</v>
      </c>
      <c r="C1256" s="3" t="s">
        <v>24</v>
      </c>
      <c r="D1256" s="5">
        <v>0.11600000000000001</v>
      </c>
      <c r="E1256" s="35">
        <f>(E1265*D1256)</f>
        <v>116</v>
      </c>
      <c r="F1256" s="36">
        <v>800</v>
      </c>
      <c r="I1256" s="61"/>
      <c r="J1256" s="37"/>
      <c r="K1256" s="3" t="s">
        <v>20</v>
      </c>
      <c r="L1256" s="5">
        <v>5.0000000000000001E-4</v>
      </c>
      <c r="M1256" s="35">
        <f>(M1268*L1256)</f>
        <v>0.5</v>
      </c>
      <c r="N1256" s="36"/>
    </row>
    <row r="1257" spans="1:14" ht="27.6" x14ac:dyDescent="0.25">
      <c r="A1257" s="16" t="s">
        <v>100</v>
      </c>
      <c r="B1257" s="37" t="s">
        <v>317</v>
      </c>
      <c r="C1257" s="3" t="s">
        <v>28</v>
      </c>
      <c r="D1257" s="5">
        <v>9.64E-2</v>
      </c>
      <c r="E1257" s="35">
        <f>(E1265*D1257)</f>
        <v>96.4</v>
      </c>
      <c r="F1257" s="36">
        <v>900</v>
      </c>
      <c r="I1257" s="25" t="s">
        <v>324</v>
      </c>
      <c r="J1257" s="37" t="s">
        <v>316</v>
      </c>
      <c r="K1257" s="3" t="s">
        <v>296</v>
      </c>
      <c r="L1257" s="5">
        <v>5.0000000000000001E-3</v>
      </c>
      <c r="M1257" s="35">
        <f>(M1268*L1257)</f>
        <v>5</v>
      </c>
      <c r="N1257" s="36">
        <v>1130</v>
      </c>
    </row>
    <row r="1258" spans="1:14" x14ac:dyDescent="0.25">
      <c r="A1258" s="16" t="s">
        <v>288</v>
      </c>
      <c r="B1258" s="37" t="s">
        <v>317</v>
      </c>
      <c r="C1258" s="3" t="s">
        <v>30</v>
      </c>
      <c r="D1258" s="5">
        <v>9.64E-2</v>
      </c>
      <c r="E1258" s="35">
        <f>(E1265*D1258)</f>
        <v>96.4</v>
      </c>
      <c r="F1258" s="36">
        <v>1130</v>
      </c>
      <c r="I1258" s="25"/>
      <c r="J1258" s="37"/>
      <c r="K1258" s="3" t="s">
        <v>20</v>
      </c>
      <c r="L1258" s="5">
        <v>5.0000000000000001E-4</v>
      </c>
      <c r="M1258" s="35">
        <f>(M1268*L1258)</f>
        <v>0.5</v>
      </c>
      <c r="N1258" s="36"/>
    </row>
    <row r="1259" spans="1:14" x14ac:dyDescent="0.25">
      <c r="A1259" s="16" t="s">
        <v>282</v>
      </c>
      <c r="B1259" s="37"/>
      <c r="C1259" s="15" t="s">
        <v>70</v>
      </c>
      <c r="D1259" s="5">
        <v>5.0000000000000001E-3</v>
      </c>
      <c r="E1259" s="35">
        <f>(E1265*D1259)</f>
        <v>5</v>
      </c>
      <c r="F1259" s="36">
        <v>700</v>
      </c>
      <c r="I1259" s="16" t="s">
        <v>99</v>
      </c>
      <c r="J1259" s="37" t="s">
        <v>317</v>
      </c>
      <c r="K1259" s="3" t="s">
        <v>24</v>
      </c>
      <c r="L1259" s="5">
        <v>0.11600000000000001</v>
      </c>
      <c r="M1259" s="35">
        <f>(M1268*L1259)</f>
        <v>116</v>
      </c>
      <c r="N1259" s="36">
        <v>800</v>
      </c>
    </row>
    <row r="1260" spans="1:14" ht="27.6" x14ac:dyDescent="0.25">
      <c r="A1260" s="26" t="s">
        <v>103</v>
      </c>
      <c r="B1260" s="37" t="s">
        <v>317</v>
      </c>
      <c r="C1260" s="15" t="s">
        <v>124</v>
      </c>
      <c r="D1260" s="5">
        <v>0.24299999999999999</v>
      </c>
      <c r="E1260" s="35">
        <f>(E1265*D1260)</f>
        <v>243</v>
      </c>
      <c r="F1260" s="36">
        <v>1130</v>
      </c>
      <c r="I1260" s="16" t="s">
        <v>100</v>
      </c>
      <c r="J1260" s="37" t="s">
        <v>317</v>
      </c>
      <c r="K1260" s="3" t="s">
        <v>28</v>
      </c>
      <c r="L1260" s="5">
        <v>9.64E-2</v>
      </c>
      <c r="M1260" s="35">
        <f>(M1268*L1260)</f>
        <v>96.4</v>
      </c>
      <c r="N1260" s="36">
        <v>900</v>
      </c>
    </row>
    <row r="1261" spans="1:14" x14ac:dyDescent="0.25">
      <c r="A1261" s="26" t="s">
        <v>283</v>
      </c>
      <c r="B1261" s="37"/>
      <c r="C1261" s="15" t="s">
        <v>153</v>
      </c>
      <c r="D1261" s="32">
        <v>8.5000000000000006E-2</v>
      </c>
      <c r="E1261" s="35">
        <f>(E1265*D1261)</f>
        <v>85</v>
      </c>
      <c r="F1261" s="36">
        <v>900</v>
      </c>
      <c r="I1261" s="16" t="s">
        <v>288</v>
      </c>
      <c r="J1261" s="37" t="s">
        <v>317</v>
      </c>
      <c r="K1261" s="3" t="s">
        <v>30</v>
      </c>
      <c r="L1261" s="5">
        <v>9.64E-2</v>
      </c>
      <c r="M1261" s="35">
        <f>(M1268*L1261)</f>
        <v>96.4</v>
      </c>
      <c r="N1261" s="36">
        <v>1130</v>
      </c>
    </row>
    <row r="1262" spans="1:14" x14ac:dyDescent="0.25">
      <c r="A1262" s="26" t="s">
        <v>131</v>
      </c>
      <c r="B1262" s="37" t="s">
        <v>315</v>
      </c>
      <c r="C1262" s="15" t="s">
        <v>130</v>
      </c>
      <c r="D1262" s="5">
        <v>0.03</v>
      </c>
      <c r="E1262" s="35">
        <f>(E1265*D1262)</f>
        <v>30</v>
      </c>
      <c r="F1262" s="36">
        <v>1100</v>
      </c>
      <c r="I1262" s="16" t="s">
        <v>282</v>
      </c>
      <c r="J1262" s="37"/>
      <c r="K1262" s="15" t="s">
        <v>70</v>
      </c>
      <c r="L1262" s="5">
        <v>5.0000000000000001E-3</v>
      </c>
      <c r="M1262" s="35">
        <f>(M1268*L1262)</f>
        <v>5</v>
      </c>
      <c r="N1262" s="36">
        <v>700</v>
      </c>
    </row>
    <row r="1263" spans="1:14" ht="27.6" x14ac:dyDescent="0.25">
      <c r="A1263" s="62" t="s">
        <v>133</v>
      </c>
      <c r="B1263" s="37"/>
      <c r="C1263" s="15" t="s">
        <v>153</v>
      </c>
      <c r="D1263" s="5">
        <v>0.1545</v>
      </c>
      <c r="E1263" s="35">
        <f>(E1265*D1263)</f>
        <v>154.5</v>
      </c>
      <c r="F1263" s="36">
        <v>700</v>
      </c>
      <c r="I1263" s="26" t="s">
        <v>103</v>
      </c>
      <c r="J1263" s="37" t="s">
        <v>317</v>
      </c>
      <c r="K1263" s="15" t="s">
        <v>124</v>
      </c>
      <c r="L1263" s="5">
        <v>0.24299999999999999</v>
      </c>
      <c r="M1263" s="35">
        <f>(M1268*L1263)</f>
        <v>243</v>
      </c>
      <c r="N1263" s="36">
        <v>1130</v>
      </c>
    </row>
    <row r="1264" spans="1:14" x14ac:dyDescent="0.25">
      <c r="A1264" s="63"/>
      <c r="B1264" s="37" t="s">
        <v>315</v>
      </c>
      <c r="C1264" s="15" t="s">
        <v>20</v>
      </c>
      <c r="D1264" s="5">
        <v>1.5E-3</v>
      </c>
      <c r="E1264" s="35">
        <f>(E1265*D1264)</f>
        <v>1.5</v>
      </c>
      <c r="I1264" s="26" t="s">
        <v>283</v>
      </c>
      <c r="J1264" s="37"/>
      <c r="K1264" s="15" t="s">
        <v>153</v>
      </c>
      <c r="L1264" s="32">
        <v>8.5000000000000006E-2</v>
      </c>
      <c r="M1264" s="35">
        <f>(M1268*L1264)</f>
        <v>85</v>
      </c>
      <c r="N1264" s="36">
        <v>900</v>
      </c>
    </row>
    <row r="1265" spans="1:14" x14ac:dyDescent="0.25">
      <c r="A1265" s="2"/>
      <c r="B1265" s="12"/>
      <c r="C1265" s="2"/>
      <c r="D1265" s="13">
        <f>SUM(D1247:D1264)</f>
        <v>0.99999999999999989</v>
      </c>
      <c r="E1265" s="19">
        <v>1000</v>
      </c>
      <c r="I1265" s="26" t="s">
        <v>131</v>
      </c>
      <c r="J1265" s="37" t="s">
        <v>315</v>
      </c>
      <c r="K1265" s="15" t="s">
        <v>130</v>
      </c>
      <c r="L1265" s="5">
        <v>0.03</v>
      </c>
      <c r="M1265" s="35">
        <f>(M1268*L1265)</f>
        <v>30</v>
      </c>
      <c r="N1265" s="36">
        <v>1100</v>
      </c>
    </row>
    <row r="1266" spans="1:14" x14ac:dyDescent="0.25">
      <c r="C1266" s="33">
        <f>SUM(D1252+D1254+D1256+D1257+D1258+D1260+D1261*0.5+D1262+D1263*0.5)</f>
        <v>0.70865</v>
      </c>
      <c r="E1266" s="24">
        <f>SUM(E1247:E1264)</f>
        <v>1000</v>
      </c>
      <c r="F1266" s="77"/>
      <c r="G1266" s="77"/>
      <c r="I1266" s="62" t="s">
        <v>133</v>
      </c>
      <c r="J1266" s="37"/>
      <c r="K1266" s="15" t="s">
        <v>153</v>
      </c>
      <c r="L1266" s="5">
        <v>0.1545</v>
      </c>
      <c r="M1266" s="35">
        <f>(M1268*L1266)</f>
        <v>154.5</v>
      </c>
      <c r="N1266" s="36">
        <v>700</v>
      </c>
    </row>
    <row r="1267" spans="1:14" x14ac:dyDescent="0.25">
      <c r="F1267" s="77"/>
      <c r="G1267" s="77"/>
      <c r="I1267" s="63"/>
      <c r="J1267" s="37" t="s">
        <v>315</v>
      </c>
      <c r="K1267" s="15" t="s">
        <v>20</v>
      </c>
      <c r="L1267" s="5">
        <v>1.5E-3</v>
      </c>
      <c r="M1267" s="35">
        <f>(M1268*L1267)</f>
        <v>1.5</v>
      </c>
      <c r="N1267" s="36"/>
    </row>
    <row r="1268" spans="1:14" x14ac:dyDescent="0.25">
      <c r="F1268" s="77"/>
      <c r="G1268" s="77"/>
      <c r="I1268" s="2"/>
      <c r="J1268" s="12"/>
      <c r="K1268" s="2"/>
      <c r="L1268" s="13">
        <f>SUM(L1250:L1267)</f>
        <v>0.99999999999999989</v>
      </c>
      <c r="M1268" s="19">
        <v>1000</v>
      </c>
    </row>
    <row r="1269" spans="1:14" x14ac:dyDescent="0.25">
      <c r="K1269" s="33">
        <f>SUM(L1255+L1257+L1259+L1260+L1261+L1263+L1264*0.5+L1265+L1266*0.5)</f>
        <v>0.70865</v>
      </c>
      <c r="M1269" s="24">
        <f>SUM(M1250:M1267)</f>
        <v>1000</v>
      </c>
    </row>
    <row r="1270" spans="1:14" x14ac:dyDescent="0.25">
      <c r="A1270" s="54" t="s">
        <v>325</v>
      </c>
      <c r="B1270" s="54"/>
      <c r="C1270" s="54"/>
      <c r="D1270" s="54"/>
      <c r="E1270" s="54"/>
    </row>
    <row r="1271" spans="1:14" x14ac:dyDescent="0.25">
      <c r="A1271" s="59" t="s">
        <v>323</v>
      </c>
      <c r="B1271" s="59"/>
      <c r="C1271" s="59"/>
      <c r="D1271" s="59"/>
      <c r="E1271" s="59"/>
    </row>
    <row r="1272" spans="1:14" x14ac:dyDescent="0.25">
      <c r="A1272" s="3" t="s">
        <v>3</v>
      </c>
      <c r="B1272" s="3" t="s">
        <v>97</v>
      </c>
      <c r="D1272" s="3" t="s">
        <v>5</v>
      </c>
      <c r="E1272" s="3" t="s">
        <v>7</v>
      </c>
      <c r="F1272" s="3" t="s">
        <v>313</v>
      </c>
    </row>
    <row r="1273" spans="1:14" x14ac:dyDescent="0.25">
      <c r="A1273" s="60" t="s">
        <v>293</v>
      </c>
      <c r="B1273" s="34"/>
      <c r="C1273" s="3" t="s">
        <v>10</v>
      </c>
      <c r="D1273" s="5">
        <v>0.13</v>
      </c>
      <c r="E1273" s="35">
        <f>(E1291*D1273)</f>
        <v>130</v>
      </c>
      <c r="F1273" s="36">
        <v>500</v>
      </c>
      <c r="I1273" s="54" t="s">
        <v>326</v>
      </c>
      <c r="J1273" s="54"/>
      <c r="K1273" s="54"/>
      <c r="L1273" s="54"/>
      <c r="M1273" s="54"/>
    </row>
    <row r="1274" spans="1:14" x14ac:dyDescent="0.25">
      <c r="A1274" s="61"/>
      <c r="B1274" s="34"/>
      <c r="C1274" s="3" t="s">
        <v>232</v>
      </c>
      <c r="D1274" s="5">
        <v>2E-3</v>
      </c>
      <c r="E1274" s="35">
        <f>(E1291*D1274)</f>
        <v>2</v>
      </c>
      <c r="F1274" s="36"/>
      <c r="I1274" s="59" t="s">
        <v>312</v>
      </c>
      <c r="J1274" s="59"/>
      <c r="K1274" s="59"/>
      <c r="L1274" s="59"/>
      <c r="M1274" s="59"/>
    </row>
    <row r="1275" spans="1:14" x14ac:dyDescent="0.25">
      <c r="A1275" s="61"/>
      <c r="B1275" s="34" t="s">
        <v>314</v>
      </c>
      <c r="C1275" s="3" t="s">
        <v>166</v>
      </c>
      <c r="D1275" s="5">
        <v>0.03</v>
      </c>
      <c r="E1275" s="35">
        <f>(E1291*D1275)</f>
        <v>30</v>
      </c>
      <c r="F1275" s="36"/>
      <c r="I1275" s="3" t="s">
        <v>3</v>
      </c>
      <c r="J1275" s="3" t="s">
        <v>97</v>
      </c>
      <c r="L1275" s="3" t="s">
        <v>5</v>
      </c>
      <c r="M1275" s="3" t="s">
        <v>7</v>
      </c>
      <c r="N1275" s="3" t="s">
        <v>313</v>
      </c>
    </row>
    <row r="1276" spans="1:14" ht="15" customHeight="1" x14ac:dyDescent="0.25">
      <c r="A1276" s="61"/>
      <c r="B1276" s="34"/>
      <c r="C1276" s="3" t="s">
        <v>13</v>
      </c>
      <c r="D1276" s="5">
        <v>2E-3</v>
      </c>
      <c r="E1276" s="35">
        <f>(E1291*D1276)</f>
        <v>2</v>
      </c>
      <c r="F1276" s="36"/>
      <c r="I1276" s="60" t="s">
        <v>293</v>
      </c>
      <c r="J1276" s="34"/>
      <c r="K1276" s="3" t="s">
        <v>10</v>
      </c>
      <c r="L1276" s="5">
        <v>0.12959999999999999</v>
      </c>
      <c r="M1276" s="35">
        <f>(M1294*L1276)</f>
        <v>583.19999999999993</v>
      </c>
      <c r="N1276" s="36">
        <v>500</v>
      </c>
    </row>
    <row r="1277" spans="1:14" x14ac:dyDescent="0.25">
      <c r="A1277" s="61"/>
      <c r="B1277" s="34" t="s">
        <v>327</v>
      </c>
      <c r="C1277" s="3" t="s">
        <v>20</v>
      </c>
      <c r="D1277" s="5">
        <v>5.0000000000000001E-4</v>
      </c>
      <c r="E1277" s="35">
        <f>(E1291*D1277)</f>
        <v>0.5</v>
      </c>
      <c r="F1277" s="36">
        <v>600</v>
      </c>
      <c r="I1277" s="61"/>
      <c r="J1277" s="34"/>
      <c r="K1277" s="3" t="s">
        <v>232</v>
      </c>
      <c r="L1277" s="5">
        <v>2E-3</v>
      </c>
      <c r="M1277" s="35">
        <f>(M1294*L1277)</f>
        <v>9</v>
      </c>
      <c r="N1277" s="36"/>
    </row>
    <row r="1278" spans="1:14" x14ac:dyDescent="0.25">
      <c r="A1278" s="61"/>
      <c r="B1278" s="37" t="s">
        <v>315</v>
      </c>
      <c r="C1278" s="3" t="s">
        <v>51</v>
      </c>
      <c r="D1278" s="5">
        <v>1.5E-3</v>
      </c>
      <c r="E1278" s="35">
        <f>(E1291*D1278)</f>
        <v>1.5</v>
      </c>
      <c r="F1278" s="36">
        <v>800</v>
      </c>
      <c r="I1278" s="61"/>
      <c r="J1278" s="34" t="s">
        <v>314</v>
      </c>
      <c r="K1278" s="3" t="s">
        <v>166</v>
      </c>
      <c r="L1278" s="5">
        <v>0.03</v>
      </c>
      <c r="M1278" s="35">
        <f>(M1294*L1278)</f>
        <v>135</v>
      </c>
      <c r="N1278" s="36"/>
    </row>
    <row r="1279" spans="1:14" x14ac:dyDescent="0.25">
      <c r="A1279" s="61"/>
      <c r="B1279" s="37"/>
      <c r="C1279" s="3" t="s">
        <v>20</v>
      </c>
      <c r="D1279" s="5">
        <v>5.0000000000000001E-4</v>
      </c>
      <c r="E1279" s="35">
        <f>(E1291*D1279)</f>
        <v>0.5</v>
      </c>
      <c r="F1279" s="36"/>
      <c r="I1279" s="61"/>
      <c r="J1279" s="34" t="s">
        <v>315</v>
      </c>
      <c r="K1279" s="3" t="s">
        <v>13</v>
      </c>
      <c r="L1279" s="5">
        <v>2E-3</v>
      </c>
      <c r="M1279" s="35">
        <f>(M1294*L1279)</f>
        <v>9</v>
      </c>
      <c r="N1279" s="36"/>
    </row>
    <row r="1280" spans="1:14" x14ac:dyDescent="0.25">
      <c r="A1280" s="25" t="s">
        <v>324</v>
      </c>
      <c r="B1280" s="37" t="s">
        <v>316</v>
      </c>
      <c r="C1280" s="3" t="s">
        <v>296</v>
      </c>
      <c r="D1280" s="5">
        <v>5.0000000000000001E-3</v>
      </c>
      <c r="E1280" s="35">
        <f>(E1291*D1280)</f>
        <v>5</v>
      </c>
      <c r="F1280" s="36">
        <v>1130</v>
      </c>
      <c r="I1280" s="61"/>
      <c r="J1280" s="34" t="s">
        <v>314</v>
      </c>
      <c r="K1280" s="3" t="s">
        <v>20</v>
      </c>
      <c r="L1280" s="5">
        <v>5.0000000000000001E-4</v>
      </c>
      <c r="M1280" s="35">
        <f>(M1294*L1280)</f>
        <v>2.25</v>
      </c>
      <c r="N1280" s="36">
        <v>600</v>
      </c>
    </row>
    <row r="1281" spans="1:14" x14ac:dyDescent="0.25">
      <c r="A1281" s="25"/>
      <c r="B1281" s="37"/>
      <c r="C1281" s="3" t="s">
        <v>20</v>
      </c>
      <c r="D1281" s="5">
        <v>5.0000000000000001E-4</v>
      </c>
      <c r="E1281" s="35">
        <f>(E1291*D1281)</f>
        <v>0.5</v>
      </c>
      <c r="F1281" s="36"/>
      <c r="I1281" s="61"/>
      <c r="J1281" s="37" t="s">
        <v>315</v>
      </c>
      <c r="K1281" s="3" t="s">
        <v>51</v>
      </c>
      <c r="L1281" s="5">
        <v>2.5999999999999999E-3</v>
      </c>
      <c r="M1281" s="35">
        <f>(M1294*L1281)</f>
        <v>11.7</v>
      </c>
      <c r="N1281" s="36">
        <v>800</v>
      </c>
    </row>
    <row r="1282" spans="1:14" x14ac:dyDescent="0.25">
      <c r="A1282" s="16" t="s">
        <v>99</v>
      </c>
      <c r="B1282" s="37" t="s">
        <v>317</v>
      </c>
      <c r="C1282" s="3" t="s">
        <v>24</v>
      </c>
      <c r="D1282" s="5">
        <v>0.11600000000000001</v>
      </c>
      <c r="E1282" s="35">
        <f>(E1291*D1282)</f>
        <v>116</v>
      </c>
      <c r="F1282" s="36">
        <v>800</v>
      </c>
      <c r="I1282" s="61"/>
      <c r="J1282" s="37"/>
      <c r="K1282" s="3" t="s">
        <v>20</v>
      </c>
      <c r="L1282" s="5">
        <v>5.0000000000000001E-4</v>
      </c>
      <c r="M1282" s="35">
        <f>(M1294*L1282)</f>
        <v>2.25</v>
      </c>
      <c r="N1282" s="36"/>
    </row>
    <row r="1283" spans="1:14" ht="27.6" x14ac:dyDescent="0.25">
      <c r="A1283" s="16" t="s">
        <v>100</v>
      </c>
      <c r="B1283" s="37" t="s">
        <v>317</v>
      </c>
      <c r="C1283" s="3" t="s">
        <v>28</v>
      </c>
      <c r="D1283" s="5">
        <v>9.64E-2</v>
      </c>
      <c r="E1283" s="35">
        <f>(E1291*D1283)</f>
        <v>96.4</v>
      </c>
      <c r="F1283" s="36">
        <v>900</v>
      </c>
      <c r="I1283" s="25" t="s">
        <v>324</v>
      </c>
      <c r="J1283" s="37" t="s">
        <v>316</v>
      </c>
      <c r="K1283" s="3" t="s">
        <v>296</v>
      </c>
      <c r="L1283" s="5">
        <v>4.4999999999999997E-3</v>
      </c>
      <c r="M1283" s="35">
        <f>(M1294*L1283)</f>
        <v>20.25</v>
      </c>
      <c r="N1283" s="36">
        <v>1130</v>
      </c>
    </row>
    <row r="1284" spans="1:14" x14ac:dyDescent="0.25">
      <c r="A1284" s="16" t="s">
        <v>288</v>
      </c>
      <c r="B1284" s="37" t="s">
        <v>317</v>
      </c>
      <c r="C1284" s="3" t="s">
        <v>30</v>
      </c>
      <c r="D1284" s="5">
        <v>9.64E-2</v>
      </c>
      <c r="E1284" s="35">
        <f>(E1291*D1284)</f>
        <v>96.4</v>
      </c>
      <c r="F1284" s="36">
        <v>1130</v>
      </c>
      <c r="I1284" s="25"/>
      <c r="J1284" s="37"/>
      <c r="K1284" s="3" t="s">
        <v>20</v>
      </c>
      <c r="L1284" s="5">
        <v>5.0000000000000001E-4</v>
      </c>
      <c r="M1284" s="35">
        <f>(M1294*L1284)</f>
        <v>2.25</v>
      </c>
      <c r="N1284" s="36"/>
    </row>
    <row r="1285" spans="1:14" x14ac:dyDescent="0.25">
      <c r="A1285" s="16" t="s">
        <v>282</v>
      </c>
      <c r="B1285" s="37"/>
      <c r="C1285" s="15" t="s">
        <v>70</v>
      </c>
      <c r="D1285" s="5">
        <v>5.0000000000000001E-3</v>
      </c>
      <c r="E1285" s="35">
        <f>(E1291*D1285)</f>
        <v>5</v>
      </c>
      <c r="F1285" s="36">
        <v>700</v>
      </c>
      <c r="I1285" s="16" t="s">
        <v>99</v>
      </c>
      <c r="J1285" s="37" t="s">
        <v>317</v>
      </c>
      <c r="K1285" s="3" t="s">
        <v>24</v>
      </c>
      <c r="L1285" s="5">
        <v>0.11600000000000001</v>
      </c>
      <c r="M1285" s="35">
        <f>(M1294*L1285)</f>
        <v>522</v>
      </c>
      <c r="N1285" s="36">
        <v>800</v>
      </c>
    </row>
    <row r="1286" spans="1:14" ht="27.6" x14ac:dyDescent="0.25">
      <c r="A1286" s="26" t="s">
        <v>103</v>
      </c>
      <c r="B1286" s="37" t="s">
        <v>317</v>
      </c>
      <c r="C1286" s="15" t="s">
        <v>124</v>
      </c>
      <c r="D1286" s="5">
        <v>0.24299999999999999</v>
      </c>
      <c r="E1286" s="35">
        <f>(E1291*D1286)</f>
        <v>243</v>
      </c>
      <c r="F1286" s="36">
        <v>1130</v>
      </c>
      <c r="I1286" s="16" t="s">
        <v>100</v>
      </c>
      <c r="J1286" s="37" t="s">
        <v>317</v>
      </c>
      <c r="K1286" s="3" t="s">
        <v>28</v>
      </c>
      <c r="L1286" s="5">
        <v>9.64E-2</v>
      </c>
      <c r="M1286" s="35">
        <f>(M1294*L1286)</f>
        <v>433.8</v>
      </c>
      <c r="N1286" s="36">
        <v>900</v>
      </c>
    </row>
    <row r="1287" spans="1:14" x14ac:dyDescent="0.25">
      <c r="A1287" s="26" t="s">
        <v>283</v>
      </c>
      <c r="B1287" s="37"/>
      <c r="C1287" s="15" t="s">
        <v>153</v>
      </c>
      <c r="D1287" s="32">
        <v>8.5000000000000006E-2</v>
      </c>
      <c r="E1287" s="35">
        <f>(E1291*D1287)</f>
        <v>85</v>
      </c>
      <c r="F1287" s="36">
        <v>900</v>
      </c>
      <c r="I1287" s="16" t="s">
        <v>288</v>
      </c>
      <c r="J1287" s="37" t="s">
        <v>317</v>
      </c>
      <c r="K1287" s="3" t="s">
        <v>30</v>
      </c>
      <c r="L1287" s="5">
        <v>9.64E-2</v>
      </c>
      <c r="M1287" s="35">
        <f>(M1294*L1287)</f>
        <v>433.8</v>
      </c>
      <c r="N1287" s="36">
        <v>1130</v>
      </c>
    </row>
    <row r="1288" spans="1:14" x14ac:dyDescent="0.25">
      <c r="A1288" s="26" t="s">
        <v>131</v>
      </c>
      <c r="B1288" s="37" t="s">
        <v>315</v>
      </c>
      <c r="C1288" s="15" t="s">
        <v>130</v>
      </c>
      <c r="D1288" s="5">
        <v>0.03</v>
      </c>
      <c r="E1288" s="35">
        <f>(E1291*D1288)</f>
        <v>30</v>
      </c>
      <c r="F1288" s="36">
        <v>1100</v>
      </c>
      <c r="I1288" s="16" t="s">
        <v>282</v>
      </c>
      <c r="J1288" s="37"/>
      <c r="K1288" s="15" t="s">
        <v>70</v>
      </c>
      <c r="L1288" s="5">
        <v>5.0000000000000001E-3</v>
      </c>
      <c r="M1288" s="35">
        <f>(M1294*L1288)</f>
        <v>22.5</v>
      </c>
      <c r="N1288" s="36">
        <v>700</v>
      </c>
    </row>
    <row r="1289" spans="1:14" ht="27.6" x14ac:dyDescent="0.25">
      <c r="A1289" s="62" t="s">
        <v>133</v>
      </c>
      <c r="B1289" s="37"/>
      <c r="C1289" s="15" t="s">
        <v>153</v>
      </c>
      <c r="D1289" s="5">
        <v>0.1545</v>
      </c>
      <c r="E1289" s="35">
        <f>(E1291*D1289)</f>
        <v>154.5</v>
      </c>
      <c r="F1289" s="36">
        <v>700</v>
      </c>
      <c r="I1289" s="26" t="s">
        <v>103</v>
      </c>
      <c r="J1289" s="37" t="s">
        <v>317</v>
      </c>
      <c r="K1289" s="15" t="s">
        <v>124</v>
      </c>
      <c r="L1289" s="5">
        <v>0.24299999999999999</v>
      </c>
      <c r="M1289" s="35">
        <f>(M1294*L1289)</f>
        <v>1093.5</v>
      </c>
      <c r="N1289" s="36">
        <v>1130</v>
      </c>
    </row>
    <row r="1290" spans="1:14" x14ac:dyDescent="0.25">
      <c r="A1290" s="63"/>
      <c r="B1290" s="37" t="s">
        <v>315</v>
      </c>
      <c r="C1290" s="15" t="s">
        <v>20</v>
      </c>
      <c r="D1290" s="5">
        <v>1.5E-3</v>
      </c>
      <c r="E1290" s="35">
        <f>(E1291*D1290)</f>
        <v>1.5</v>
      </c>
      <c r="F1290" s="36"/>
      <c r="I1290" s="26" t="s">
        <v>283</v>
      </c>
      <c r="J1290" s="37"/>
      <c r="K1290" s="15" t="s">
        <v>153</v>
      </c>
      <c r="L1290" s="32">
        <v>8.5000000000000006E-2</v>
      </c>
      <c r="M1290" s="35">
        <f>(M1294*L1290)</f>
        <v>382.5</v>
      </c>
      <c r="N1290" s="36">
        <v>900</v>
      </c>
    </row>
    <row r="1291" spans="1:14" x14ac:dyDescent="0.25">
      <c r="A1291" s="2"/>
      <c r="B1291" s="12"/>
      <c r="C1291" s="2"/>
      <c r="D1291" s="13">
        <f>SUM(D1273:D1290)</f>
        <v>0.99979999999999991</v>
      </c>
      <c r="E1291" s="19">
        <v>1000</v>
      </c>
      <c r="I1291" s="26" t="s">
        <v>131</v>
      </c>
      <c r="J1291" s="37" t="s">
        <v>315</v>
      </c>
      <c r="K1291" s="15" t="s">
        <v>130</v>
      </c>
      <c r="L1291" s="5">
        <v>0.03</v>
      </c>
      <c r="M1291" s="35">
        <f>(M1294*L1291)</f>
        <v>135</v>
      </c>
      <c r="N1291" s="36">
        <v>1100</v>
      </c>
    </row>
    <row r="1292" spans="1:14" ht="15" customHeight="1" x14ac:dyDescent="0.25">
      <c r="C1292" s="33">
        <f>SUM(D1278+D1280+D1282+D1283+D1284+D1286+D1287*0.5+D1288+D1289*0.5)</f>
        <v>0.70805000000000007</v>
      </c>
      <c r="E1292" s="24">
        <f>SUM(E1273:E1290)</f>
        <v>999.8</v>
      </c>
      <c r="I1292" s="62" t="s">
        <v>133</v>
      </c>
      <c r="J1292" s="37"/>
      <c r="K1292" s="15" t="s">
        <v>153</v>
      </c>
      <c r="L1292" s="5">
        <v>0.1545</v>
      </c>
      <c r="M1292" s="35">
        <f>(M1294*L1292)</f>
        <v>695.25</v>
      </c>
      <c r="N1292" s="36">
        <v>700</v>
      </c>
    </row>
    <row r="1293" spans="1:14" x14ac:dyDescent="0.25">
      <c r="I1293" s="63"/>
      <c r="J1293" s="37" t="s">
        <v>315</v>
      </c>
      <c r="K1293" s="15" t="s">
        <v>20</v>
      </c>
      <c r="L1293" s="5">
        <v>1.5E-3</v>
      </c>
      <c r="M1293" s="35">
        <f>(M1294*L1293)</f>
        <v>6.75</v>
      </c>
      <c r="N1293" s="36"/>
    </row>
    <row r="1294" spans="1:14" x14ac:dyDescent="0.25">
      <c r="I1294" s="2"/>
      <c r="J1294" s="12"/>
      <c r="K1294" s="2"/>
      <c r="L1294" s="13">
        <f>SUM(L1276:L1293)</f>
        <v>0.99999999999999989</v>
      </c>
      <c r="M1294" s="19">
        <v>4500</v>
      </c>
    </row>
    <row r="1295" spans="1:14" x14ac:dyDescent="0.25">
      <c r="K1295" s="33">
        <f>SUM(L1281+L1283+L1285+L1286+L1287+L1289+L1290*0.5+L1291+L1292*0.5)</f>
        <v>0.70865</v>
      </c>
      <c r="M1295" s="24">
        <f>SUM(M1276:M1293)</f>
        <v>4500</v>
      </c>
    </row>
    <row r="1297" spans="1:14" x14ac:dyDescent="0.25">
      <c r="A1297" s="54" t="s">
        <v>328</v>
      </c>
      <c r="B1297" s="54"/>
      <c r="C1297" s="54"/>
      <c r="D1297" s="54"/>
      <c r="E1297" s="54"/>
    </row>
    <row r="1298" spans="1:14" x14ac:dyDescent="0.25">
      <c r="A1298" s="59" t="s">
        <v>330</v>
      </c>
      <c r="B1298" s="59"/>
      <c r="C1298" s="59"/>
      <c r="D1298" s="59"/>
      <c r="E1298" s="59"/>
    </row>
    <row r="1299" spans="1:14" x14ac:dyDescent="0.25">
      <c r="A1299" s="3" t="s">
        <v>3</v>
      </c>
      <c r="B1299" s="3" t="s">
        <v>97</v>
      </c>
      <c r="D1299" s="3" t="s">
        <v>5</v>
      </c>
      <c r="E1299" s="3" t="s">
        <v>7</v>
      </c>
      <c r="F1299" s="3" t="s">
        <v>313</v>
      </c>
    </row>
    <row r="1300" spans="1:14" x14ac:dyDescent="0.25">
      <c r="A1300" s="60" t="s">
        <v>293</v>
      </c>
      <c r="B1300" s="34"/>
      <c r="C1300" s="3" t="s">
        <v>10</v>
      </c>
      <c r="D1300" s="5">
        <v>0.1288</v>
      </c>
      <c r="E1300" s="35">
        <f>(E1319*D1300)</f>
        <v>128.80000000000001</v>
      </c>
      <c r="F1300" s="36">
        <v>500</v>
      </c>
      <c r="I1300" s="54" t="s">
        <v>329</v>
      </c>
      <c r="J1300" s="54"/>
      <c r="K1300" s="54"/>
      <c r="L1300" s="54"/>
      <c r="M1300" s="54"/>
    </row>
    <row r="1301" spans="1:14" x14ac:dyDescent="0.25">
      <c r="A1301" s="61"/>
      <c r="B1301" s="34"/>
      <c r="C1301" s="3" t="s">
        <v>232</v>
      </c>
      <c r="D1301" s="5">
        <v>2E-3</v>
      </c>
      <c r="E1301" s="35">
        <f>(E1319*D1301)</f>
        <v>2</v>
      </c>
      <c r="F1301" s="36"/>
      <c r="I1301" s="59" t="s">
        <v>331</v>
      </c>
      <c r="J1301" s="59"/>
      <c r="K1301" s="59"/>
      <c r="L1301" s="59"/>
      <c r="M1301" s="59"/>
    </row>
    <row r="1302" spans="1:14" x14ac:dyDescent="0.25">
      <c r="A1302" s="61"/>
      <c r="B1302" s="34" t="s">
        <v>314</v>
      </c>
      <c r="C1302" s="3" t="s">
        <v>166</v>
      </c>
      <c r="D1302" s="5">
        <v>0.03</v>
      </c>
      <c r="E1302" s="35">
        <f>(E1319*D1302)</f>
        <v>30</v>
      </c>
      <c r="F1302" s="36"/>
      <c r="I1302" s="3" t="s">
        <v>3</v>
      </c>
      <c r="J1302" s="3" t="s">
        <v>97</v>
      </c>
      <c r="L1302" s="3" t="s">
        <v>5</v>
      </c>
      <c r="M1302" s="3" t="s">
        <v>7</v>
      </c>
      <c r="N1302" s="3" t="s">
        <v>313</v>
      </c>
    </row>
    <row r="1303" spans="1:14" x14ac:dyDescent="0.25">
      <c r="A1303" s="61"/>
      <c r="B1303" s="34"/>
      <c r="C1303" s="3" t="s">
        <v>13</v>
      </c>
      <c r="D1303" s="5">
        <v>2E-3</v>
      </c>
      <c r="E1303" s="35">
        <f>(E1319*D1303)</f>
        <v>2</v>
      </c>
      <c r="F1303" s="36"/>
      <c r="I1303" s="60" t="s">
        <v>293</v>
      </c>
      <c r="J1303" s="34"/>
      <c r="K1303" s="3" t="s">
        <v>10</v>
      </c>
      <c r="L1303" s="5">
        <v>0.1288</v>
      </c>
      <c r="M1303" s="35">
        <f>(M1322*L1303)</f>
        <v>128.80000000000001</v>
      </c>
      <c r="N1303" s="36">
        <v>500</v>
      </c>
    </row>
    <row r="1304" spans="1:14" x14ac:dyDescent="0.25">
      <c r="A1304" s="61"/>
      <c r="B1304" s="34" t="s">
        <v>327</v>
      </c>
      <c r="C1304" s="3" t="s">
        <v>20</v>
      </c>
      <c r="D1304" s="5">
        <v>5.0000000000000001E-4</v>
      </c>
      <c r="E1304" s="35">
        <f>(E1319*D1304)</f>
        <v>0.5</v>
      </c>
      <c r="F1304" s="36">
        <v>600</v>
      </c>
      <c r="I1304" s="61"/>
      <c r="J1304" s="34"/>
      <c r="K1304" s="3" t="s">
        <v>232</v>
      </c>
      <c r="L1304" s="5">
        <v>2E-3</v>
      </c>
      <c r="M1304" s="35">
        <f>(M1322*L1304)</f>
        <v>2</v>
      </c>
      <c r="N1304" s="36"/>
    </row>
    <row r="1305" spans="1:14" x14ac:dyDescent="0.25">
      <c r="A1305" s="61"/>
      <c r="B1305" s="37" t="s">
        <v>315</v>
      </c>
      <c r="C1305" s="3" t="s">
        <v>51</v>
      </c>
      <c r="D1305" s="5">
        <v>1.5E-3</v>
      </c>
      <c r="E1305" s="35">
        <f>(E1319*D1305)</f>
        <v>1.5</v>
      </c>
      <c r="F1305" s="36">
        <v>800</v>
      </c>
      <c r="I1305" s="61"/>
      <c r="J1305" s="34" t="s">
        <v>314</v>
      </c>
      <c r="K1305" s="3" t="s">
        <v>166</v>
      </c>
      <c r="L1305" s="5">
        <v>0.03</v>
      </c>
      <c r="M1305" s="35">
        <f>(M1322*L1305)</f>
        <v>30</v>
      </c>
      <c r="N1305" s="36"/>
    </row>
    <row r="1306" spans="1:14" x14ac:dyDescent="0.25">
      <c r="A1306" s="61"/>
      <c r="B1306" s="37"/>
      <c r="C1306" s="3" t="s">
        <v>20</v>
      </c>
      <c r="D1306" s="5">
        <v>5.0000000000000001E-4</v>
      </c>
      <c r="E1306" s="35">
        <f>(E1319*D1306)</f>
        <v>0.5</v>
      </c>
      <c r="F1306" s="36"/>
      <c r="I1306" s="61"/>
      <c r="J1306" s="34"/>
      <c r="K1306" s="3" t="s">
        <v>13</v>
      </c>
      <c r="L1306" s="5">
        <v>2E-3</v>
      </c>
      <c r="M1306" s="35">
        <f>(M1322*L1306)</f>
        <v>2</v>
      </c>
      <c r="N1306" s="36"/>
    </row>
    <row r="1307" spans="1:14" x14ac:dyDescent="0.25">
      <c r="A1307" s="25" t="s">
        <v>324</v>
      </c>
      <c r="B1307" s="37" t="s">
        <v>316</v>
      </c>
      <c r="C1307" s="3" t="s">
        <v>296</v>
      </c>
      <c r="D1307" s="5">
        <v>5.0000000000000001E-3</v>
      </c>
      <c r="E1307" s="35">
        <f>(E1319*D1307)</f>
        <v>5</v>
      </c>
      <c r="F1307" s="36">
        <v>1130</v>
      </c>
      <c r="I1307" s="61"/>
      <c r="J1307" s="34" t="s">
        <v>327</v>
      </c>
      <c r="K1307" s="3" t="s">
        <v>20</v>
      </c>
      <c r="L1307" s="5">
        <v>5.0000000000000001E-4</v>
      </c>
      <c r="M1307" s="35">
        <f>(M1322*L1307)</f>
        <v>0.5</v>
      </c>
      <c r="N1307" s="36">
        <v>600</v>
      </c>
    </row>
    <row r="1308" spans="1:14" x14ac:dyDescent="0.25">
      <c r="A1308" s="25"/>
      <c r="B1308" s="37"/>
      <c r="C1308" s="3" t="s">
        <v>20</v>
      </c>
      <c r="D1308" s="5">
        <v>5.0000000000000001E-4</v>
      </c>
      <c r="E1308" s="35">
        <f>(E1319*D1308)</f>
        <v>0.5</v>
      </c>
      <c r="F1308" s="36"/>
      <c r="I1308" s="61"/>
      <c r="J1308" s="37" t="s">
        <v>315</v>
      </c>
      <c r="K1308" s="3" t="s">
        <v>51</v>
      </c>
      <c r="L1308" s="5">
        <v>1.5E-3</v>
      </c>
      <c r="M1308" s="35">
        <f>(M1322*L1308)</f>
        <v>1.5</v>
      </c>
      <c r="N1308" s="36">
        <v>800</v>
      </c>
    </row>
    <row r="1309" spans="1:14" x14ac:dyDescent="0.25">
      <c r="A1309" s="16" t="s">
        <v>99</v>
      </c>
      <c r="B1309" s="37" t="s">
        <v>317</v>
      </c>
      <c r="C1309" s="3" t="s">
        <v>24</v>
      </c>
      <c r="D1309" s="5">
        <v>0.11600000000000001</v>
      </c>
      <c r="E1309" s="35">
        <f>(E1319*D1309)</f>
        <v>116</v>
      </c>
      <c r="F1309" s="36">
        <v>800</v>
      </c>
      <c r="I1309" s="61"/>
      <c r="J1309" s="37"/>
      <c r="K1309" s="3" t="s">
        <v>20</v>
      </c>
      <c r="L1309" s="5">
        <v>5.0000000000000001E-4</v>
      </c>
      <c r="M1309" s="35">
        <f>(M1322*L1309)</f>
        <v>0.5</v>
      </c>
      <c r="N1309" s="36"/>
    </row>
    <row r="1310" spans="1:14" ht="27.6" x14ac:dyDescent="0.25">
      <c r="A1310" s="16" t="s">
        <v>100</v>
      </c>
      <c r="B1310" s="37" t="s">
        <v>317</v>
      </c>
      <c r="C1310" s="3" t="s">
        <v>28</v>
      </c>
      <c r="D1310" s="5">
        <v>9.64E-2</v>
      </c>
      <c r="E1310" s="35">
        <f>(E1319*D1310)</f>
        <v>96.4</v>
      </c>
      <c r="F1310" s="36">
        <v>900</v>
      </c>
      <c r="I1310" s="25" t="s">
        <v>324</v>
      </c>
      <c r="J1310" s="37" t="s">
        <v>316</v>
      </c>
      <c r="K1310" s="3" t="s">
        <v>296</v>
      </c>
      <c r="L1310" s="5">
        <v>5.0000000000000001E-3</v>
      </c>
      <c r="M1310" s="35">
        <f>(M1322*L1310)</f>
        <v>5</v>
      </c>
      <c r="N1310" s="36">
        <v>1130</v>
      </c>
    </row>
    <row r="1311" spans="1:14" x14ac:dyDescent="0.25">
      <c r="A1311" s="16" t="s">
        <v>288</v>
      </c>
      <c r="B1311" s="37" t="s">
        <v>317</v>
      </c>
      <c r="C1311" s="3" t="s">
        <v>30</v>
      </c>
      <c r="D1311" s="5">
        <v>9.64E-2</v>
      </c>
      <c r="E1311" s="35">
        <f>(E1319*D1311)</f>
        <v>96.4</v>
      </c>
      <c r="F1311" s="36">
        <v>1130</v>
      </c>
      <c r="I1311" s="25"/>
      <c r="J1311" s="37"/>
      <c r="K1311" s="3" t="s">
        <v>20</v>
      </c>
      <c r="L1311" s="5">
        <v>5.0000000000000001E-4</v>
      </c>
      <c r="M1311" s="35">
        <f>(M1322*L1311)</f>
        <v>0.5</v>
      </c>
      <c r="N1311" s="36"/>
    </row>
    <row r="1312" spans="1:14" x14ac:dyDescent="0.25">
      <c r="A1312" s="16" t="s">
        <v>282</v>
      </c>
      <c r="B1312" s="37"/>
      <c r="C1312" s="15" t="s">
        <v>70</v>
      </c>
      <c r="D1312" s="5">
        <v>5.0000000000000001E-3</v>
      </c>
      <c r="E1312" s="35">
        <f>(E1319*D1312)</f>
        <v>5</v>
      </c>
      <c r="F1312" s="36">
        <v>700</v>
      </c>
      <c r="I1312" s="16" t="s">
        <v>99</v>
      </c>
      <c r="J1312" s="37" t="s">
        <v>317</v>
      </c>
      <c r="K1312" s="3" t="s">
        <v>24</v>
      </c>
      <c r="L1312" s="5">
        <v>0.11600000000000001</v>
      </c>
      <c r="M1312" s="35">
        <f>(M1322*L1312)</f>
        <v>116</v>
      </c>
      <c r="N1312" s="36">
        <v>800</v>
      </c>
    </row>
    <row r="1313" spans="1:14" ht="27.6" x14ac:dyDescent="0.25">
      <c r="A1313" s="26" t="s">
        <v>103</v>
      </c>
      <c r="B1313" s="37" t="s">
        <v>317</v>
      </c>
      <c r="C1313" s="15" t="s">
        <v>124</v>
      </c>
      <c r="D1313" s="5">
        <v>0.24299999999999999</v>
      </c>
      <c r="E1313" s="35">
        <f>(E1319*D1313)</f>
        <v>243</v>
      </c>
      <c r="F1313" s="36">
        <v>1130</v>
      </c>
      <c r="I1313" s="16" t="s">
        <v>100</v>
      </c>
      <c r="J1313" s="37" t="s">
        <v>317</v>
      </c>
      <c r="K1313" s="3" t="s">
        <v>28</v>
      </c>
      <c r="L1313" s="5">
        <v>9.64E-2</v>
      </c>
      <c r="M1313" s="35">
        <f>(M1322*L1313)</f>
        <v>96.4</v>
      </c>
      <c r="N1313" s="36">
        <v>900</v>
      </c>
    </row>
    <row r="1314" spans="1:14" x14ac:dyDescent="0.25">
      <c r="A1314" s="26" t="s">
        <v>283</v>
      </c>
      <c r="B1314" s="37"/>
      <c r="C1314" s="15" t="s">
        <v>153</v>
      </c>
      <c r="D1314" s="32">
        <v>8.5000000000000006E-2</v>
      </c>
      <c r="E1314" s="35">
        <f>(E1319*D1314)</f>
        <v>85</v>
      </c>
      <c r="F1314" s="36">
        <v>900</v>
      </c>
      <c r="I1314" s="16" t="s">
        <v>288</v>
      </c>
      <c r="J1314" s="37" t="s">
        <v>317</v>
      </c>
      <c r="K1314" s="3" t="s">
        <v>30</v>
      </c>
      <c r="L1314" s="5">
        <v>9.64E-2</v>
      </c>
      <c r="M1314" s="35">
        <f>(M1322*L1314)</f>
        <v>96.4</v>
      </c>
      <c r="N1314" s="36">
        <v>1130</v>
      </c>
    </row>
    <row r="1315" spans="1:14" x14ac:dyDescent="0.25">
      <c r="A1315" s="26" t="s">
        <v>131</v>
      </c>
      <c r="B1315" s="37" t="s">
        <v>315</v>
      </c>
      <c r="C1315" s="15" t="s">
        <v>130</v>
      </c>
      <c r="D1315" s="5">
        <v>0.03</v>
      </c>
      <c r="E1315" s="35">
        <f>(E1319*D1315)</f>
        <v>30</v>
      </c>
      <c r="F1315" s="36">
        <v>1100</v>
      </c>
      <c r="I1315" s="16" t="s">
        <v>282</v>
      </c>
      <c r="J1315" s="37"/>
      <c r="K1315" s="15" t="s">
        <v>70</v>
      </c>
      <c r="L1315" s="5">
        <v>5.0000000000000001E-3</v>
      </c>
      <c r="M1315" s="35">
        <f>(M1322*L1315)</f>
        <v>5</v>
      </c>
      <c r="N1315" s="36">
        <v>700</v>
      </c>
    </row>
    <row r="1316" spans="1:14" ht="27.6" x14ac:dyDescent="0.25">
      <c r="A1316" s="62" t="s">
        <v>133</v>
      </c>
      <c r="B1316" s="37"/>
      <c r="C1316" s="15" t="s">
        <v>153</v>
      </c>
      <c r="D1316" s="5">
        <v>0.1545</v>
      </c>
      <c r="E1316" s="35">
        <f>(E1319*D1316)</f>
        <v>154.5</v>
      </c>
      <c r="F1316" s="36">
        <v>700</v>
      </c>
      <c r="I1316" s="26" t="s">
        <v>103</v>
      </c>
      <c r="J1316" s="37" t="s">
        <v>317</v>
      </c>
      <c r="K1316" s="15" t="s">
        <v>124</v>
      </c>
      <c r="L1316" s="5">
        <v>0.24299999999999999</v>
      </c>
      <c r="M1316" s="35">
        <f>(M1322*L1316)</f>
        <v>243</v>
      </c>
      <c r="N1316" s="36">
        <v>1130</v>
      </c>
    </row>
    <row r="1317" spans="1:14" x14ac:dyDescent="0.25">
      <c r="A1317" s="66"/>
      <c r="B1317" s="37" t="s">
        <v>315</v>
      </c>
      <c r="C1317" s="15" t="s">
        <v>332</v>
      </c>
      <c r="D1317" s="5">
        <v>1.4E-3</v>
      </c>
      <c r="E1317" s="35">
        <f>(E1319*D1317)</f>
        <v>1.4</v>
      </c>
      <c r="F1317" s="36">
        <v>700</v>
      </c>
      <c r="I1317" s="26" t="s">
        <v>283</v>
      </c>
      <c r="J1317" s="37"/>
      <c r="K1317" s="15" t="s">
        <v>153</v>
      </c>
      <c r="L1317" s="32">
        <v>8.5000000000000006E-2</v>
      </c>
      <c r="M1317" s="35">
        <f>(M1322*L1317)</f>
        <v>85</v>
      </c>
      <c r="N1317" s="36">
        <v>900</v>
      </c>
    </row>
    <row r="1318" spans="1:14" x14ac:dyDescent="0.25">
      <c r="A1318" s="63"/>
      <c r="B1318" s="37" t="s">
        <v>315</v>
      </c>
      <c r="C1318" s="15" t="s">
        <v>20</v>
      </c>
      <c r="D1318" s="5">
        <v>1.5E-3</v>
      </c>
      <c r="E1318" s="35">
        <f>(E1319*D1318)</f>
        <v>1.5</v>
      </c>
      <c r="F1318" s="36"/>
      <c r="I1318" s="26" t="s">
        <v>131</v>
      </c>
      <c r="J1318" s="37" t="s">
        <v>315</v>
      </c>
      <c r="K1318" s="15" t="s">
        <v>130</v>
      </c>
      <c r="L1318" s="5">
        <v>0.03</v>
      </c>
      <c r="M1318" s="35">
        <f>(M1322*L1318)</f>
        <v>30</v>
      </c>
      <c r="N1318" s="36">
        <v>1100</v>
      </c>
    </row>
    <row r="1319" spans="1:14" x14ac:dyDescent="0.25">
      <c r="A1319" s="2"/>
      <c r="B1319" s="12"/>
      <c r="C1319" s="2"/>
      <c r="D1319" s="13">
        <f>SUM(D1300:D1318)</f>
        <v>0.99999999999999989</v>
      </c>
      <c r="E1319" s="19">
        <v>1000</v>
      </c>
      <c r="I1319" s="62" t="s">
        <v>133</v>
      </c>
      <c r="J1319" s="37"/>
      <c r="K1319" s="15" t="s">
        <v>153</v>
      </c>
      <c r="L1319" s="5">
        <v>0.1545</v>
      </c>
      <c r="M1319" s="35">
        <f>(M1322*L1319)</f>
        <v>154.5</v>
      </c>
      <c r="N1319" s="36">
        <v>700</v>
      </c>
    </row>
    <row r="1320" spans="1:14" x14ac:dyDescent="0.25">
      <c r="C1320" s="33">
        <f>SUM(D1305+D1307+D1309+D1310+D1311+D1313+D1314*0.5+D1315+D1316*0.5)</f>
        <v>0.70805000000000007</v>
      </c>
      <c r="E1320" s="24">
        <f>SUM(E1300:E1318)</f>
        <v>1000</v>
      </c>
      <c r="I1320" s="66"/>
      <c r="J1320" s="37" t="s">
        <v>315</v>
      </c>
      <c r="K1320" s="15" t="s">
        <v>333</v>
      </c>
      <c r="L1320" s="5">
        <v>1.4E-3</v>
      </c>
      <c r="M1320" s="35">
        <f>(M1322*L1320)</f>
        <v>1.4</v>
      </c>
      <c r="N1320" s="36">
        <v>700</v>
      </c>
    </row>
    <row r="1321" spans="1:14" x14ac:dyDescent="0.25">
      <c r="A1321" s="39"/>
      <c r="B1321" s="39"/>
      <c r="C1321" s="39"/>
      <c r="D1321" s="39"/>
      <c r="E1321" s="39"/>
      <c r="F1321" s="39"/>
      <c r="I1321" s="63"/>
      <c r="J1321" s="37" t="s">
        <v>315</v>
      </c>
      <c r="K1321" s="15" t="s">
        <v>20</v>
      </c>
      <c r="L1321" s="5">
        <v>1.5E-3</v>
      </c>
      <c r="M1321" s="35">
        <f>(M1322*L1321)</f>
        <v>1.5</v>
      </c>
      <c r="N1321" s="36"/>
    </row>
    <row r="1322" spans="1:14" x14ac:dyDescent="0.25">
      <c r="I1322" s="2"/>
      <c r="J1322" s="12"/>
      <c r="K1322" s="2"/>
      <c r="L1322" s="13">
        <f>SUM(L1303:L1321)</f>
        <v>0.99999999999999989</v>
      </c>
      <c r="M1322" s="19">
        <v>1000</v>
      </c>
    </row>
    <row r="1323" spans="1:14" x14ac:dyDescent="0.25">
      <c r="K1323" s="33">
        <f>SUM(L1308+L1310+L1312+L1313+L1314+L1316+L1317*0.5+L1318+L1319*0.5)</f>
        <v>0.70805000000000007</v>
      </c>
      <c r="M1323" s="24">
        <f>SUM(M1303:M1321)</f>
        <v>1000</v>
      </c>
    </row>
    <row r="1324" spans="1:14" x14ac:dyDescent="0.25">
      <c r="I1324" s="39"/>
      <c r="J1324" s="39"/>
      <c r="K1324" s="39"/>
      <c r="L1324" s="39"/>
      <c r="M1324" s="39"/>
      <c r="N1324" s="39"/>
    </row>
    <row r="1325" spans="1:14" x14ac:dyDescent="0.25">
      <c r="A1325" s="54" t="s">
        <v>335</v>
      </c>
      <c r="B1325" s="54"/>
      <c r="C1325" s="54"/>
      <c r="D1325" s="54"/>
      <c r="E1325" s="54"/>
    </row>
    <row r="1326" spans="1:14" x14ac:dyDescent="0.25">
      <c r="A1326" s="59" t="s">
        <v>337</v>
      </c>
      <c r="B1326" s="59"/>
      <c r="C1326" s="59"/>
      <c r="D1326" s="59"/>
      <c r="E1326" s="59"/>
    </row>
    <row r="1327" spans="1:14" x14ac:dyDescent="0.25">
      <c r="A1327" s="3" t="s">
        <v>3</v>
      </c>
      <c r="B1327" s="3" t="s">
        <v>97</v>
      </c>
      <c r="D1327" s="3" t="s">
        <v>5</v>
      </c>
      <c r="E1327" s="3" t="s">
        <v>7</v>
      </c>
      <c r="F1327" s="3" t="s">
        <v>313</v>
      </c>
      <c r="I1327" s="54" t="s">
        <v>334</v>
      </c>
      <c r="J1327" s="54"/>
      <c r="K1327" s="54"/>
      <c r="L1327" s="54"/>
      <c r="M1327" s="54"/>
    </row>
    <row r="1328" spans="1:14" x14ac:dyDescent="0.25">
      <c r="A1328" s="60" t="s">
        <v>293</v>
      </c>
      <c r="B1328" s="34"/>
      <c r="C1328" s="3" t="s">
        <v>10</v>
      </c>
      <c r="D1328" s="5">
        <v>0.14000000000000001</v>
      </c>
      <c r="E1328" s="35">
        <f>(E1346*D1328)</f>
        <v>140</v>
      </c>
      <c r="F1328" s="36">
        <v>500</v>
      </c>
      <c r="I1328" s="59" t="s">
        <v>336</v>
      </c>
      <c r="J1328" s="59"/>
      <c r="K1328" s="59"/>
      <c r="L1328" s="59"/>
      <c r="M1328" s="59"/>
    </row>
    <row r="1329" spans="1:14" x14ac:dyDescent="0.25">
      <c r="A1329" s="61"/>
      <c r="B1329" s="34"/>
      <c r="C1329" s="3" t="s">
        <v>232</v>
      </c>
      <c r="D1329" s="5">
        <v>2E-3</v>
      </c>
      <c r="E1329" s="35">
        <f>(E1346*D1329)</f>
        <v>2</v>
      </c>
      <c r="F1329" s="36"/>
      <c r="I1329" s="3" t="s">
        <v>3</v>
      </c>
      <c r="J1329" s="3" t="s">
        <v>97</v>
      </c>
      <c r="L1329" s="3" t="s">
        <v>5</v>
      </c>
      <c r="M1329" s="3" t="s">
        <v>7</v>
      </c>
      <c r="N1329" s="3" t="s">
        <v>313</v>
      </c>
    </row>
    <row r="1330" spans="1:14" x14ac:dyDescent="0.25">
      <c r="A1330" s="61"/>
      <c r="B1330" s="34" t="s">
        <v>314</v>
      </c>
      <c r="C1330" s="3" t="s">
        <v>166</v>
      </c>
      <c r="D1330" s="5">
        <v>0.02</v>
      </c>
      <c r="E1330" s="35">
        <f>(E1346*D1330)</f>
        <v>20</v>
      </c>
      <c r="F1330" s="36"/>
      <c r="I1330" s="60" t="s">
        <v>293</v>
      </c>
      <c r="J1330" s="34"/>
      <c r="K1330" s="3" t="s">
        <v>10</v>
      </c>
      <c r="L1330" s="5">
        <v>0.1396</v>
      </c>
      <c r="M1330" s="35">
        <f>(M1348*L1330)</f>
        <v>209.4</v>
      </c>
      <c r="N1330" s="36">
        <v>500</v>
      </c>
    </row>
    <row r="1331" spans="1:14" x14ac:dyDescent="0.25">
      <c r="A1331" s="61"/>
      <c r="B1331" s="34"/>
      <c r="C1331" s="3" t="s">
        <v>13</v>
      </c>
      <c r="D1331" s="5">
        <v>2E-3</v>
      </c>
      <c r="E1331" s="35">
        <f>(E1346*D1331)</f>
        <v>2</v>
      </c>
      <c r="F1331" s="36"/>
      <c r="I1331" s="61"/>
      <c r="J1331" s="34"/>
      <c r="K1331" s="3" t="s">
        <v>232</v>
      </c>
      <c r="L1331" s="5">
        <v>2E-3</v>
      </c>
      <c r="M1331" s="35">
        <f>(M1348*L1331)</f>
        <v>3</v>
      </c>
      <c r="N1331" s="36"/>
    </row>
    <row r="1332" spans="1:14" x14ac:dyDescent="0.25">
      <c r="A1332" s="61"/>
      <c r="B1332" s="34" t="s">
        <v>327</v>
      </c>
      <c r="C1332" s="3" t="s">
        <v>20</v>
      </c>
      <c r="D1332" s="5">
        <v>5.0000000000000001E-4</v>
      </c>
      <c r="E1332" s="35">
        <f>(E1346*D1332)</f>
        <v>0.5</v>
      </c>
      <c r="F1332" s="36">
        <v>600</v>
      </c>
      <c r="I1332" s="61"/>
      <c r="J1332" s="34" t="s">
        <v>314</v>
      </c>
      <c r="K1332" s="3" t="s">
        <v>166</v>
      </c>
      <c r="L1332" s="5">
        <v>0.02</v>
      </c>
      <c r="M1332" s="35">
        <f>(M1348*L1332)</f>
        <v>30</v>
      </c>
      <c r="N1332" s="36"/>
    </row>
    <row r="1333" spans="1:14" x14ac:dyDescent="0.25">
      <c r="A1333" s="61"/>
      <c r="B1333" s="37" t="s">
        <v>315</v>
      </c>
      <c r="C1333" s="3" t="s">
        <v>51</v>
      </c>
      <c r="D1333" s="5">
        <v>1.5E-3</v>
      </c>
      <c r="E1333" s="35">
        <f>(E1346*D1333)</f>
        <v>1.5</v>
      </c>
      <c r="F1333" s="36">
        <v>800</v>
      </c>
      <c r="I1333" s="61"/>
      <c r="J1333" s="34" t="s">
        <v>315</v>
      </c>
      <c r="K1333" s="3" t="s">
        <v>13</v>
      </c>
      <c r="L1333" s="5">
        <v>2E-3</v>
      </c>
      <c r="M1333" s="35">
        <f>(M1348*L1333)</f>
        <v>3</v>
      </c>
      <c r="N1333" s="36"/>
    </row>
    <row r="1334" spans="1:14" x14ac:dyDescent="0.25">
      <c r="A1334" s="61"/>
      <c r="B1334" s="37"/>
      <c r="C1334" s="3" t="s">
        <v>20</v>
      </c>
      <c r="D1334" s="5">
        <v>5.0000000000000001E-4</v>
      </c>
      <c r="E1334" s="35">
        <f>(E1346*D1334)</f>
        <v>0.5</v>
      </c>
      <c r="F1334" s="36"/>
      <c r="I1334" s="61"/>
      <c r="J1334" s="34" t="s">
        <v>314</v>
      </c>
      <c r="K1334" s="3" t="s">
        <v>20</v>
      </c>
      <c r="L1334" s="5">
        <v>5.0000000000000001E-4</v>
      </c>
      <c r="M1334" s="35">
        <f>(M1348*L1334)</f>
        <v>0.75</v>
      </c>
      <c r="N1334" s="36">
        <v>600</v>
      </c>
    </row>
    <row r="1335" spans="1:14" x14ac:dyDescent="0.25">
      <c r="A1335" s="25" t="s">
        <v>324</v>
      </c>
      <c r="B1335" s="37" t="s">
        <v>316</v>
      </c>
      <c r="C1335" s="3" t="s">
        <v>296</v>
      </c>
      <c r="D1335" s="5">
        <v>5.0000000000000001E-3</v>
      </c>
      <c r="E1335" s="35">
        <f>(E1346*D1335)</f>
        <v>5</v>
      </c>
      <c r="F1335" s="36">
        <v>1130</v>
      </c>
      <c r="I1335" s="61"/>
      <c r="J1335" s="37" t="s">
        <v>315</v>
      </c>
      <c r="K1335" s="3" t="s">
        <v>51</v>
      </c>
      <c r="L1335" s="5">
        <v>2.5999999999999999E-3</v>
      </c>
      <c r="M1335" s="35">
        <f>(M1348*L1335)</f>
        <v>3.9</v>
      </c>
      <c r="N1335" s="36">
        <v>800</v>
      </c>
    </row>
    <row r="1336" spans="1:14" x14ac:dyDescent="0.25">
      <c r="A1336" s="25"/>
      <c r="B1336" s="37"/>
      <c r="C1336" s="3" t="s">
        <v>20</v>
      </c>
      <c r="D1336" s="5">
        <v>5.0000000000000001E-4</v>
      </c>
      <c r="E1336" s="35">
        <f>(E1346*D1336)</f>
        <v>0.5</v>
      </c>
      <c r="F1336" s="36"/>
      <c r="I1336" s="61"/>
      <c r="J1336" s="37"/>
      <c r="K1336" s="3" t="s">
        <v>20</v>
      </c>
      <c r="L1336" s="5">
        <v>5.0000000000000001E-4</v>
      </c>
      <c r="M1336" s="35">
        <f>(M1348*L1336)</f>
        <v>0.75</v>
      </c>
      <c r="N1336" s="36"/>
    </row>
    <row r="1337" spans="1:14" ht="27.6" x14ac:dyDescent="0.25">
      <c r="A1337" s="16" t="s">
        <v>99</v>
      </c>
      <c r="B1337" s="37" t="s">
        <v>317</v>
      </c>
      <c r="C1337" s="3" t="s">
        <v>24</v>
      </c>
      <c r="D1337" s="5">
        <v>0.11600000000000001</v>
      </c>
      <c r="E1337" s="35">
        <f>(E1346*D1337)</f>
        <v>116</v>
      </c>
      <c r="F1337" s="36">
        <v>800</v>
      </c>
      <c r="I1337" s="25" t="s">
        <v>324</v>
      </c>
      <c r="J1337" s="37" t="s">
        <v>316</v>
      </c>
      <c r="K1337" s="3" t="s">
        <v>296</v>
      </c>
      <c r="L1337" s="5">
        <v>4.4999999999999997E-3</v>
      </c>
      <c r="M1337" s="35">
        <f>(M1348*L1337)</f>
        <v>6.7499999999999991</v>
      </c>
      <c r="N1337" s="36">
        <v>1130</v>
      </c>
    </row>
    <row r="1338" spans="1:14" x14ac:dyDescent="0.25">
      <c r="A1338" s="16" t="s">
        <v>100</v>
      </c>
      <c r="B1338" s="37" t="s">
        <v>317</v>
      </c>
      <c r="C1338" s="3" t="s">
        <v>28</v>
      </c>
      <c r="D1338" s="5">
        <v>9.1499999999999998E-2</v>
      </c>
      <c r="E1338" s="35">
        <f>(E1346*D1338)</f>
        <v>91.5</v>
      </c>
      <c r="F1338" s="36">
        <v>900</v>
      </c>
      <c r="I1338" s="25"/>
      <c r="J1338" s="37"/>
      <c r="K1338" s="3" t="s">
        <v>20</v>
      </c>
      <c r="L1338" s="5">
        <v>5.0000000000000001E-4</v>
      </c>
      <c r="M1338" s="35">
        <f>(M1348*L1338)</f>
        <v>0.75</v>
      </c>
      <c r="N1338" s="36"/>
    </row>
    <row r="1339" spans="1:14" x14ac:dyDescent="0.25">
      <c r="A1339" s="16" t="s">
        <v>288</v>
      </c>
      <c r="B1339" s="37" t="s">
        <v>317</v>
      </c>
      <c r="C1339" s="3" t="s">
        <v>30</v>
      </c>
      <c r="D1339" s="5">
        <v>9.35E-2</v>
      </c>
      <c r="E1339" s="35">
        <f>(E1346*D1339)</f>
        <v>93.5</v>
      </c>
      <c r="F1339" s="36">
        <v>1130</v>
      </c>
      <c r="I1339" s="16" t="s">
        <v>99</v>
      </c>
      <c r="J1339" s="37" t="s">
        <v>317</v>
      </c>
      <c r="K1339" s="3" t="s">
        <v>24</v>
      </c>
      <c r="L1339" s="5">
        <v>0.11600000000000001</v>
      </c>
      <c r="M1339" s="35">
        <f>(M1348*L1339)</f>
        <v>174</v>
      </c>
      <c r="N1339" s="36">
        <v>800</v>
      </c>
    </row>
    <row r="1340" spans="1:14" x14ac:dyDescent="0.25">
      <c r="A1340" s="16" t="s">
        <v>282</v>
      </c>
      <c r="B1340" s="37"/>
      <c r="C1340" s="15" t="s">
        <v>70</v>
      </c>
      <c r="D1340" s="5">
        <v>5.0000000000000001E-3</v>
      </c>
      <c r="E1340" s="35">
        <f>(E1346*D1340)</f>
        <v>5</v>
      </c>
      <c r="F1340" s="36">
        <v>700</v>
      </c>
      <c r="I1340" s="16" t="s">
        <v>100</v>
      </c>
      <c r="J1340" s="37" t="s">
        <v>317</v>
      </c>
      <c r="K1340" s="3" t="s">
        <v>28</v>
      </c>
      <c r="L1340" s="5">
        <v>9.64E-2</v>
      </c>
      <c r="M1340" s="35">
        <f>(M1348*L1340)</f>
        <v>144.6</v>
      </c>
      <c r="N1340" s="36">
        <v>900</v>
      </c>
    </row>
    <row r="1341" spans="1:14" ht="27.6" x14ac:dyDescent="0.25">
      <c r="A1341" s="26" t="s">
        <v>103</v>
      </c>
      <c r="B1341" s="37" t="s">
        <v>317</v>
      </c>
      <c r="C1341" s="15" t="s">
        <v>124</v>
      </c>
      <c r="D1341" s="5">
        <v>0.24199999999999999</v>
      </c>
      <c r="E1341" s="35">
        <f>(E1346*D1341)</f>
        <v>242</v>
      </c>
      <c r="F1341" s="36">
        <v>1130</v>
      </c>
      <c r="I1341" s="16" t="s">
        <v>288</v>
      </c>
      <c r="J1341" s="37" t="s">
        <v>317</v>
      </c>
      <c r="K1341" s="3" t="s">
        <v>30</v>
      </c>
      <c r="L1341" s="5">
        <v>9.64E-2</v>
      </c>
      <c r="M1341" s="35">
        <f>(M1348*L1341)</f>
        <v>144.6</v>
      </c>
      <c r="N1341" s="36">
        <v>1130</v>
      </c>
    </row>
    <row r="1342" spans="1:14" x14ac:dyDescent="0.25">
      <c r="A1342" s="26" t="s">
        <v>283</v>
      </c>
      <c r="B1342" s="37"/>
      <c r="C1342" s="15" t="s">
        <v>153</v>
      </c>
      <c r="D1342" s="32">
        <v>8.5000000000000006E-2</v>
      </c>
      <c r="E1342" s="35">
        <f>(E1346*D1342)</f>
        <v>85</v>
      </c>
      <c r="F1342" s="36">
        <v>900</v>
      </c>
      <c r="I1342" s="16" t="s">
        <v>282</v>
      </c>
      <c r="J1342" s="37"/>
      <c r="K1342" s="15" t="s">
        <v>70</v>
      </c>
      <c r="L1342" s="5">
        <v>5.0000000000000001E-3</v>
      </c>
      <c r="M1342" s="35">
        <f>(M1348*L1342)</f>
        <v>7.5</v>
      </c>
      <c r="N1342" s="36">
        <v>700</v>
      </c>
    </row>
    <row r="1343" spans="1:14" ht="27.6" x14ac:dyDescent="0.25">
      <c r="A1343" s="26" t="s">
        <v>131</v>
      </c>
      <c r="B1343" s="37" t="s">
        <v>315</v>
      </c>
      <c r="C1343" s="15" t="s">
        <v>130</v>
      </c>
      <c r="D1343" s="5">
        <v>0.04</v>
      </c>
      <c r="E1343" s="35">
        <f>(E1346*D1343)</f>
        <v>40</v>
      </c>
      <c r="F1343" s="36">
        <v>1100</v>
      </c>
      <c r="I1343" s="26" t="s">
        <v>103</v>
      </c>
      <c r="J1343" s="37" t="s">
        <v>317</v>
      </c>
      <c r="K1343" s="15" t="s">
        <v>124</v>
      </c>
      <c r="L1343" s="5">
        <v>0.24299999999999999</v>
      </c>
      <c r="M1343" s="35">
        <f>(M1348*L1343)</f>
        <v>364.5</v>
      </c>
      <c r="N1343" s="36">
        <v>1130</v>
      </c>
    </row>
    <row r="1344" spans="1:14" x14ac:dyDescent="0.25">
      <c r="A1344" s="62" t="s">
        <v>133</v>
      </c>
      <c r="B1344" s="37"/>
      <c r="C1344" s="15" t="s">
        <v>153</v>
      </c>
      <c r="D1344" s="5">
        <v>0.1535</v>
      </c>
      <c r="E1344" s="35">
        <f>(E1346*D1344)</f>
        <v>153.5</v>
      </c>
      <c r="F1344" s="36">
        <v>700</v>
      </c>
      <c r="I1344" s="26" t="s">
        <v>283</v>
      </c>
      <c r="J1344" s="37"/>
      <c r="K1344" s="15" t="s">
        <v>153</v>
      </c>
      <c r="L1344" s="32">
        <v>8.5000000000000006E-2</v>
      </c>
      <c r="M1344" s="35">
        <f>(M1348*L1344)</f>
        <v>127.50000000000001</v>
      </c>
      <c r="N1344" s="36">
        <v>900</v>
      </c>
    </row>
    <row r="1345" spans="1:14" x14ac:dyDescent="0.25">
      <c r="A1345" s="63"/>
      <c r="B1345" s="37" t="s">
        <v>315</v>
      </c>
      <c r="C1345" s="15" t="s">
        <v>20</v>
      </c>
      <c r="D1345" s="5">
        <v>1.5E-3</v>
      </c>
      <c r="E1345" s="35">
        <f>(E1346*D1345)</f>
        <v>1.5</v>
      </c>
      <c r="F1345" s="36"/>
      <c r="I1345" s="26" t="s">
        <v>131</v>
      </c>
      <c r="J1345" s="37" t="s">
        <v>315</v>
      </c>
      <c r="K1345" s="15" t="s">
        <v>130</v>
      </c>
      <c r="L1345" s="5">
        <v>0.03</v>
      </c>
      <c r="M1345" s="35">
        <f>(M1348*L1345)</f>
        <v>45</v>
      </c>
      <c r="N1345" s="36">
        <v>1100</v>
      </c>
    </row>
    <row r="1346" spans="1:14" x14ac:dyDescent="0.25">
      <c r="A1346" s="2"/>
      <c r="B1346" s="12"/>
      <c r="C1346" s="2"/>
      <c r="D1346" s="13">
        <f>SUM(D1328:D1345)</f>
        <v>1</v>
      </c>
      <c r="E1346" s="19">
        <v>1000</v>
      </c>
      <c r="I1346" s="62" t="s">
        <v>133</v>
      </c>
      <c r="J1346" s="37"/>
      <c r="K1346" s="15" t="s">
        <v>153</v>
      </c>
      <c r="L1346" s="5">
        <v>0.1545</v>
      </c>
      <c r="M1346" s="35">
        <f>(M1348*L1346)</f>
        <v>231.75</v>
      </c>
      <c r="N1346" s="36">
        <v>700</v>
      </c>
    </row>
    <row r="1347" spans="1:14" x14ac:dyDescent="0.25">
      <c r="C1347" s="33">
        <f>SUM(D1333+D1335+D1337+D1338+D1339+D1341+D1342*0.5+D1343+D1344*0.5)</f>
        <v>0.70874999999999999</v>
      </c>
      <c r="E1347" s="24">
        <f>SUM(E1328:E1345)</f>
        <v>1000</v>
      </c>
      <c r="I1347" s="63"/>
      <c r="J1347" s="37" t="s">
        <v>315</v>
      </c>
      <c r="K1347" s="15" t="s">
        <v>20</v>
      </c>
      <c r="L1347" s="5">
        <v>1.5E-3</v>
      </c>
      <c r="M1347" s="35">
        <f>(M1348*L1347)</f>
        <v>2.25</v>
      </c>
      <c r="N1347" s="36"/>
    </row>
    <row r="1348" spans="1:14" x14ac:dyDescent="0.25">
      <c r="I1348" s="2"/>
      <c r="J1348" s="12"/>
      <c r="K1348" s="2"/>
      <c r="L1348" s="13">
        <f>SUM(L1330:L1347)</f>
        <v>0.99999999999999989</v>
      </c>
      <c r="M1348" s="19">
        <v>1500</v>
      </c>
    </row>
    <row r="1349" spans="1:14" x14ac:dyDescent="0.25">
      <c r="K1349" s="33">
        <f>SUM(L1335+L1337+L1339+L1340+L1341+L1343+L1344*0.5+L1345+L1346*0.5)</f>
        <v>0.70865</v>
      </c>
      <c r="M1349" s="24">
        <f>SUM(M1330:M1347)</f>
        <v>1500</v>
      </c>
    </row>
    <row r="1353" spans="1:14" x14ac:dyDescent="0.25">
      <c r="A1353" s="54" t="s">
        <v>338</v>
      </c>
      <c r="B1353" s="54"/>
      <c r="C1353" s="54"/>
      <c r="D1353" s="54"/>
      <c r="E1353" s="54"/>
    </row>
    <row r="1354" spans="1:14" x14ac:dyDescent="0.25">
      <c r="A1354" s="59" t="s">
        <v>340</v>
      </c>
      <c r="B1354" s="59"/>
      <c r="C1354" s="59"/>
      <c r="D1354" s="59"/>
      <c r="E1354" s="59"/>
    </row>
    <row r="1355" spans="1:14" x14ac:dyDescent="0.25">
      <c r="A1355" s="3" t="s">
        <v>3</v>
      </c>
      <c r="B1355" s="3" t="s">
        <v>97</v>
      </c>
      <c r="D1355" s="3" t="s">
        <v>5</v>
      </c>
      <c r="E1355" s="3" t="s">
        <v>7</v>
      </c>
      <c r="F1355" s="3" t="s">
        <v>313</v>
      </c>
    </row>
    <row r="1356" spans="1:14" x14ac:dyDescent="0.25">
      <c r="A1356" s="60" t="s">
        <v>293</v>
      </c>
      <c r="B1356" s="34"/>
      <c r="C1356" s="3" t="s">
        <v>10</v>
      </c>
      <c r="D1356" s="5">
        <v>0.15409999999999999</v>
      </c>
      <c r="E1356" s="35">
        <f>(E1374*D1356)</f>
        <v>539.34999999999991</v>
      </c>
      <c r="F1356" s="36">
        <v>500</v>
      </c>
      <c r="I1356" s="54" t="s">
        <v>339</v>
      </c>
      <c r="J1356" s="54"/>
      <c r="K1356" s="54"/>
      <c r="L1356" s="54"/>
      <c r="M1356" s="54"/>
    </row>
    <row r="1357" spans="1:14" x14ac:dyDescent="0.25">
      <c r="A1357" s="61"/>
      <c r="B1357" s="34"/>
      <c r="C1357" s="3" t="s">
        <v>232</v>
      </c>
      <c r="D1357" s="5">
        <v>2E-3</v>
      </c>
      <c r="E1357" s="35">
        <f>(E1374*D1357)</f>
        <v>7</v>
      </c>
      <c r="F1357" s="36"/>
      <c r="I1357" s="59" t="s">
        <v>341</v>
      </c>
      <c r="J1357" s="59"/>
      <c r="K1357" s="59"/>
      <c r="L1357" s="59"/>
      <c r="M1357" s="59"/>
    </row>
    <row r="1358" spans="1:14" x14ac:dyDescent="0.25">
      <c r="A1358" s="61"/>
      <c r="B1358" s="34" t="s">
        <v>314</v>
      </c>
      <c r="C1358" s="3" t="s">
        <v>166</v>
      </c>
      <c r="D1358" s="5">
        <v>0.02</v>
      </c>
      <c r="E1358" s="35">
        <f>(E1374*D1358)</f>
        <v>70</v>
      </c>
      <c r="F1358" s="36"/>
      <c r="I1358" s="3" t="s">
        <v>3</v>
      </c>
      <c r="J1358" s="3" t="s">
        <v>97</v>
      </c>
      <c r="L1358" s="3" t="s">
        <v>5</v>
      </c>
      <c r="M1358" s="3" t="s">
        <v>7</v>
      </c>
      <c r="N1358" s="3" t="s">
        <v>313</v>
      </c>
    </row>
    <row r="1359" spans="1:14" x14ac:dyDescent="0.25">
      <c r="A1359" s="61"/>
      <c r="B1359" s="34" t="s">
        <v>315</v>
      </c>
      <c r="C1359" s="3" t="s">
        <v>13</v>
      </c>
      <c r="D1359" s="5">
        <v>2E-3</v>
      </c>
      <c r="E1359" s="35">
        <f>(E1374*D1359)</f>
        <v>7</v>
      </c>
      <c r="F1359" s="36"/>
      <c r="I1359" s="60" t="s">
        <v>293</v>
      </c>
      <c r="J1359" s="34"/>
      <c r="K1359" s="3" t="s">
        <v>10</v>
      </c>
      <c r="L1359" s="5">
        <v>0.15409999999999999</v>
      </c>
      <c r="M1359" s="35">
        <f>(M1377*L1359)</f>
        <v>539.34999999999991</v>
      </c>
      <c r="N1359" s="36">
        <v>500</v>
      </c>
    </row>
    <row r="1360" spans="1:14" x14ac:dyDescent="0.25">
      <c r="A1360" s="61"/>
      <c r="B1360" s="34" t="s">
        <v>314</v>
      </c>
      <c r="C1360" s="3" t="s">
        <v>20</v>
      </c>
      <c r="D1360" s="5">
        <v>5.0000000000000001E-4</v>
      </c>
      <c r="E1360" s="35">
        <f>(E1374*D1360)</f>
        <v>1.75</v>
      </c>
      <c r="F1360" s="36">
        <v>600</v>
      </c>
      <c r="I1360" s="61"/>
      <c r="J1360" s="34"/>
      <c r="K1360" s="3" t="s">
        <v>232</v>
      </c>
      <c r="L1360" s="5">
        <v>2E-3</v>
      </c>
      <c r="M1360" s="35">
        <f>(M1377*L1360)</f>
        <v>7</v>
      </c>
      <c r="N1360" s="36"/>
    </row>
    <row r="1361" spans="1:14" x14ac:dyDescent="0.25">
      <c r="A1361" s="61"/>
      <c r="B1361" s="37" t="s">
        <v>315</v>
      </c>
      <c r="C1361" s="3" t="s">
        <v>51</v>
      </c>
      <c r="D1361" s="5">
        <v>2.5999999999999999E-3</v>
      </c>
      <c r="E1361" s="35">
        <f>(E1374*D1361)</f>
        <v>9.1</v>
      </c>
      <c r="F1361" s="36">
        <v>800</v>
      </c>
      <c r="I1361" s="61"/>
      <c r="J1361" s="34" t="s">
        <v>314</v>
      </c>
      <c r="K1361" s="3" t="s">
        <v>166</v>
      </c>
      <c r="L1361" s="5">
        <v>0.02</v>
      </c>
      <c r="M1361" s="35">
        <f>(M1377*L1361)</f>
        <v>70</v>
      </c>
      <c r="N1361" s="36"/>
    </row>
    <row r="1362" spans="1:14" x14ac:dyDescent="0.25">
      <c r="A1362" s="61"/>
      <c r="B1362" s="37"/>
      <c r="C1362" s="3" t="s">
        <v>20</v>
      </c>
      <c r="D1362" s="5">
        <v>5.0000000000000001E-4</v>
      </c>
      <c r="E1362" s="35">
        <f>(E1374*D1362)</f>
        <v>1.75</v>
      </c>
      <c r="F1362" s="36"/>
      <c r="I1362" s="61"/>
      <c r="J1362" s="34" t="s">
        <v>315</v>
      </c>
      <c r="K1362" s="3" t="s">
        <v>13</v>
      </c>
      <c r="L1362" s="5">
        <v>2E-3</v>
      </c>
      <c r="M1362" s="35">
        <f>(M1377*L1362)</f>
        <v>7</v>
      </c>
      <c r="N1362" s="36"/>
    </row>
    <row r="1363" spans="1:14" x14ac:dyDescent="0.25">
      <c r="A1363" s="25" t="s">
        <v>324</v>
      </c>
      <c r="B1363" s="37" t="s">
        <v>316</v>
      </c>
      <c r="C1363" s="3" t="s">
        <v>296</v>
      </c>
      <c r="D1363" s="5">
        <v>4.4999999999999997E-3</v>
      </c>
      <c r="E1363" s="35">
        <f>(E1374*D1363)</f>
        <v>15.749999999999998</v>
      </c>
      <c r="F1363" s="36">
        <v>1130</v>
      </c>
      <c r="I1363" s="61"/>
      <c r="J1363" s="34" t="s">
        <v>314</v>
      </c>
      <c r="K1363" s="3" t="s">
        <v>20</v>
      </c>
      <c r="L1363" s="5">
        <v>5.0000000000000001E-4</v>
      </c>
      <c r="M1363" s="35">
        <f>(M1377*L1363)</f>
        <v>1.75</v>
      </c>
      <c r="N1363" s="36">
        <v>600</v>
      </c>
    </row>
    <row r="1364" spans="1:14" x14ac:dyDescent="0.25">
      <c r="A1364" s="25"/>
      <c r="B1364" s="37"/>
      <c r="C1364" s="3" t="s">
        <v>20</v>
      </c>
      <c r="D1364" s="5">
        <v>5.0000000000000001E-4</v>
      </c>
      <c r="E1364" s="35">
        <f>(E1374*D1364)</f>
        <v>1.75</v>
      </c>
      <c r="F1364" s="36"/>
      <c r="I1364" s="61"/>
      <c r="J1364" s="37" t="s">
        <v>315</v>
      </c>
      <c r="K1364" s="3" t="s">
        <v>51</v>
      </c>
      <c r="L1364" s="5">
        <v>2.5999999999999999E-3</v>
      </c>
      <c r="M1364" s="35">
        <f>(M1377*L1364)</f>
        <v>9.1</v>
      </c>
      <c r="N1364" s="36">
        <v>800</v>
      </c>
    </row>
    <row r="1365" spans="1:14" x14ac:dyDescent="0.25">
      <c r="A1365" s="16" t="s">
        <v>99</v>
      </c>
      <c r="B1365" s="37" t="s">
        <v>317</v>
      </c>
      <c r="C1365" s="3" t="s">
        <v>24</v>
      </c>
      <c r="D1365" s="5">
        <v>0.11600000000000001</v>
      </c>
      <c r="E1365" s="35">
        <f>(E1374*D1365)</f>
        <v>406</v>
      </c>
      <c r="F1365" s="36">
        <v>800</v>
      </c>
      <c r="I1365" s="61"/>
      <c r="J1365" s="37"/>
      <c r="K1365" s="3" t="s">
        <v>20</v>
      </c>
      <c r="L1365" s="5">
        <v>5.0000000000000001E-4</v>
      </c>
      <c r="M1365" s="35">
        <f>(M1377*L1365)</f>
        <v>1.75</v>
      </c>
      <c r="N1365" s="36"/>
    </row>
    <row r="1366" spans="1:14" ht="27.6" x14ac:dyDescent="0.25">
      <c r="A1366" s="16" t="s">
        <v>100</v>
      </c>
      <c r="B1366" s="37" t="s">
        <v>317</v>
      </c>
      <c r="C1366" s="3" t="s">
        <v>28</v>
      </c>
      <c r="D1366" s="5">
        <v>9.64E-2</v>
      </c>
      <c r="E1366" s="35">
        <f>(E1374*D1366)</f>
        <v>337.4</v>
      </c>
      <c r="F1366" s="36">
        <v>900</v>
      </c>
      <c r="I1366" s="25" t="s">
        <v>324</v>
      </c>
      <c r="J1366" s="37" t="s">
        <v>316</v>
      </c>
      <c r="K1366" s="3" t="s">
        <v>296</v>
      </c>
      <c r="L1366" s="5">
        <v>4.4999999999999997E-3</v>
      </c>
      <c r="M1366" s="35">
        <f>(M1377*L1366)</f>
        <v>15.749999999999998</v>
      </c>
      <c r="N1366" s="36">
        <v>1130</v>
      </c>
    </row>
    <row r="1367" spans="1:14" x14ac:dyDescent="0.25">
      <c r="A1367" s="16" t="s">
        <v>288</v>
      </c>
      <c r="B1367" s="37" t="s">
        <v>317</v>
      </c>
      <c r="C1367" s="3" t="s">
        <v>30</v>
      </c>
      <c r="D1367" s="5">
        <v>9.64E-2</v>
      </c>
      <c r="E1367" s="35">
        <f>(E1374*D1367)</f>
        <v>337.4</v>
      </c>
      <c r="F1367" s="36">
        <v>1130</v>
      </c>
      <c r="I1367" s="25"/>
      <c r="J1367" s="37"/>
      <c r="K1367" s="3" t="s">
        <v>20</v>
      </c>
      <c r="L1367" s="5">
        <v>5.0000000000000001E-4</v>
      </c>
      <c r="M1367" s="35">
        <f>(M1377*L1367)</f>
        <v>1.75</v>
      </c>
      <c r="N1367" s="36"/>
    </row>
    <row r="1368" spans="1:14" x14ac:dyDescent="0.25">
      <c r="A1368" s="16" t="s">
        <v>282</v>
      </c>
      <c r="B1368" s="37"/>
      <c r="C1368" s="15" t="s">
        <v>70</v>
      </c>
      <c r="D1368" s="5">
        <v>0.01</v>
      </c>
      <c r="E1368" s="35">
        <f>(E1374*D1368)</f>
        <v>35</v>
      </c>
      <c r="F1368" s="36">
        <v>700</v>
      </c>
      <c r="I1368" s="16" t="s">
        <v>99</v>
      </c>
      <c r="J1368" s="37" t="s">
        <v>317</v>
      </c>
      <c r="K1368" s="3" t="s">
        <v>24</v>
      </c>
      <c r="L1368" s="5">
        <v>0.11600000000000001</v>
      </c>
      <c r="M1368" s="35">
        <f>(M1377*L1368)</f>
        <v>406</v>
      </c>
      <c r="N1368" s="36">
        <v>800</v>
      </c>
    </row>
    <row r="1369" spans="1:14" ht="27.6" x14ac:dyDescent="0.25">
      <c r="A1369" s="26" t="s">
        <v>103</v>
      </c>
      <c r="B1369" s="37" t="s">
        <v>317</v>
      </c>
      <c r="C1369" s="15" t="s">
        <v>124</v>
      </c>
      <c r="D1369" s="5">
        <v>0.24299999999999999</v>
      </c>
      <c r="E1369" s="35">
        <f>(E1374*D1369)</f>
        <v>850.5</v>
      </c>
      <c r="F1369" s="36">
        <v>1130</v>
      </c>
      <c r="I1369" s="16" t="s">
        <v>100</v>
      </c>
      <c r="J1369" s="37" t="s">
        <v>317</v>
      </c>
      <c r="K1369" s="3" t="s">
        <v>28</v>
      </c>
      <c r="L1369" s="5">
        <v>9.64E-2</v>
      </c>
      <c r="M1369" s="35">
        <f>(M1377*L1369)</f>
        <v>337.4</v>
      </c>
      <c r="N1369" s="36">
        <v>900</v>
      </c>
    </row>
    <row r="1370" spans="1:14" x14ac:dyDescent="0.25">
      <c r="A1370" s="26" t="s">
        <v>283</v>
      </c>
      <c r="B1370" s="37"/>
      <c r="C1370" s="15" t="s">
        <v>125</v>
      </c>
      <c r="D1370" s="32">
        <v>8.5000000000000006E-2</v>
      </c>
      <c r="E1370" s="35">
        <f>(E1374*D1370)</f>
        <v>297.5</v>
      </c>
      <c r="F1370" s="36">
        <v>900</v>
      </c>
      <c r="I1370" s="16" t="s">
        <v>288</v>
      </c>
      <c r="J1370" s="37" t="s">
        <v>317</v>
      </c>
      <c r="K1370" s="3" t="s">
        <v>30</v>
      </c>
      <c r="L1370" s="5">
        <v>9.64E-2</v>
      </c>
      <c r="M1370" s="35">
        <f>(M1377*L1370)</f>
        <v>337.4</v>
      </c>
      <c r="N1370" s="36">
        <v>1130</v>
      </c>
    </row>
    <row r="1371" spans="1:14" x14ac:dyDescent="0.25">
      <c r="A1371" s="26" t="s">
        <v>131</v>
      </c>
      <c r="B1371" s="37" t="s">
        <v>315</v>
      </c>
      <c r="C1371" s="15" t="s">
        <v>130</v>
      </c>
      <c r="D1371" s="5">
        <v>0.03</v>
      </c>
      <c r="E1371" s="35">
        <f>(E1374*D1371)</f>
        <v>105</v>
      </c>
      <c r="F1371" s="36">
        <v>1100</v>
      </c>
      <c r="I1371" s="16" t="s">
        <v>282</v>
      </c>
      <c r="J1371" s="37"/>
      <c r="K1371" s="15" t="s">
        <v>70</v>
      </c>
      <c r="L1371" s="5">
        <v>0.01</v>
      </c>
      <c r="M1371" s="35">
        <f>(M1377*L1371)</f>
        <v>35</v>
      </c>
      <c r="N1371" s="36">
        <v>700</v>
      </c>
    </row>
    <row r="1372" spans="1:14" ht="27.6" x14ac:dyDescent="0.25">
      <c r="A1372" s="62" t="s">
        <v>133</v>
      </c>
      <c r="B1372" s="37"/>
      <c r="C1372" s="15" t="s">
        <v>125</v>
      </c>
      <c r="D1372" s="5">
        <v>0.13500000000000001</v>
      </c>
      <c r="E1372" s="35">
        <f>(E1374*D1372)</f>
        <v>472.50000000000006</v>
      </c>
      <c r="F1372" s="36">
        <v>700</v>
      </c>
      <c r="I1372" s="26" t="s">
        <v>103</v>
      </c>
      <c r="J1372" s="37" t="s">
        <v>317</v>
      </c>
      <c r="K1372" s="15" t="s">
        <v>124</v>
      </c>
      <c r="L1372" s="5">
        <v>0.24299999999999999</v>
      </c>
      <c r="M1372" s="35">
        <f>(M1377*L1372)</f>
        <v>850.5</v>
      </c>
      <c r="N1372" s="36">
        <v>1130</v>
      </c>
    </row>
    <row r="1373" spans="1:14" x14ac:dyDescent="0.25">
      <c r="A1373" s="63"/>
      <c r="B1373" s="37" t="s">
        <v>315</v>
      </c>
      <c r="C1373" s="15" t="s">
        <v>20</v>
      </c>
      <c r="D1373" s="5">
        <v>1.5E-3</v>
      </c>
      <c r="E1373" s="35">
        <f>(E1374*D1373)</f>
        <v>5.25</v>
      </c>
      <c r="F1373" s="36"/>
      <c r="I1373" s="26" t="s">
        <v>283</v>
      </c>
      <c r="J1373" s="37"/>
      <c r="K1373" s="15" t="s">
        <v>342</v>
      </c>
      <c r="L1373" s="32">
        <v>8.5000000000000006E-2</v>
      </c>
      <c r="M1373" s="35">
        <f>(M1377*L1373)</f>
        <v>297.5</v>
      </c>
      <c r="N1373" s="36">
        <v>900</v>
      </c>
    </row>
    <row r="1374" spans="1:14" x14ac:dyDescent="0.25">
      <c r="A1374" s="2"/>
      <c r="B1374" s="12"/>
      <c r="C1374" s="2"/>
      <c r="D1374" s="13">
        <f>SUM(D1356:D1373)</f>
        <v>0.99999999999999989</v>
      </c>
      <c r="E1374" s="19">
        <v>3500</v>
      </c>
      <c r="I1374" s="26" t="s">
        <v>131</v>
      </c>
      <c r="J1374" s="37" t="s">
        <v>315</v>
      </c>
      <c r="K1374" s="15" t="s">
        <v>130</v>
      </c>
      <c r="L1374" s="5">
        <v>0.03</v>
      </c>
      <c r="M1374" s="35">
        <f>(M1377*L1374)</f>
        <v>105</v>
      </c>
      <c r="N1374" s="36">
        <v>1100</v>
      </c>
    </row>
    <row r="1375" spans="1:14" x14ac:dyDescent="0.25">
      <c r="C1375" s="33">
        <f>SUM(D1361+D1363+D1365+D1366+D1367+D1369+D1370*0.55+D1371+D1372*0.55)</f>
        <v>0.70989999999999998</v>
      </c>
      <c r="E1375" s="24">
        <f>SUM(E1356:E1373)</f>
        <v>3500</v>
      </c>
      <c r="I1375" s="62" t="s">
        <v>133</v>
      </c>
      <c r="J1375" s="37"/>
      <c r="K1375" s="15" t="s">
        <v>342</v>
      </c>
      <c r="L1375" s="5">
        <v>0.13500000000000001</v>
      </c>
      <c r="M1375" s="35">
        <f>(M1377*L1375)</f>
        <v>472.50000000000006</v>
      </c>
      <c r="N1375" s="36">
        <v>700</v>
      </c>
    </row>
    <row r="1376" spans="1:14" x14ac:dyDescent="0.25">
      <c r="I1376" s="63"/>
      <c r="J1376" s="37" t="s">
        <v>315</v>
      </c>
      <c r="K1376" s="15" t="s">
        <v>20</v>
      </c>
      <c r="L1376" s="5">
        <v>1.5E-3</v>
      </c>
      <c r="M1376" s="35">
        <f>(M1377*L1376)</f>
        <v>5.25</v>
      </c>
      <c r="N1376" s="36"/>
    </row>
    <row r="1377" spans="1:14" x14ac:dyDescent="0.25">
      <c r="I1377" s="2"/>
      <c r="J1377" s="12"/>
      <c r="K1377" s="2"/>
      <c r="L1377" s="13">
        <f>SUM(L1359:L1376)</f>
        <v>0.99999999999999989</v>
      </c>
      <c r="M1377" s="19">
        <v>3500</v>
      </c>
    </row>
    <row r="1378" spans="1:14" x14ac:dyDescent="0.25">
      <c r="K1378" s="33">
        <f>SUM(L1364+L1366+L1368+L1369+L1370+L1372+L1373*0.55+L1374+L1375*0.55)</f>
        <v>0.70989999999999998</v>
      </c>
      <c r="M1378" s="24">
        <f>SUM(M1359:M1376)</f>
        <v>3500</v>
      </c>
    </row>
    <row r="1381" spans="1:14" x14ac:dyDescent="0.25">
      <c r="A1381" s="54" t="s">
        <v>339</v>
      </c>
      <c r="B1381" s="54"/>
      <c r="C1381" s="54"/>
      <c r="D1381" s="54"/>
      <c r="E1381" s="54"/>
    </row>
    <row r="1382" spans="1:14" x14ac:dyDescent="0.25">
      <c r="A1382" s="59" t="s">
        <v>341</v>
      </c>
      <c r="B1382" s="59"/>
      <c r="C1382" s="59"/>
      <c r="D1382" s="59"/>
      <c r="E1382" s="59"/>
    </row>
    <row r="1383" spans="1:14" x14ac:dyDescent="0.25">
      <c r="A1383" s="3" t="s">
        <v>3</v>
      </c>
      <c r="B1383" s="3" t="s">
        <v>97</v>
      </c>
      <c r="D1383" s="3" t="s">
        <v>5</v>
      </c>
      <c r="E1383" s="3" t="s">
        <v>7</v>
      </c>
      <c r="F1383" s="3" t="s">
        <v>313</v>
      </c>
    </row>
    <row r="1384" spans="1:14" x14ac:dyDescent="0.25">
      <c r="A1384" s="60" t="s">
        <v>293</v>
      </c>
      <c r="B1384" s="34"/>
      <c r="C1384" s="3" t="s">
        <v>10</v>
      </c>
      <c r="D1384" s="5">
        <v>0.15409999999999999</v>
      </c>
      <c r="E1384" s="35">
        <f>(E1402*D1384)</f>
        <v>539.34999999999991</v>
      </c>
      <c r="F1384" s="36">
        <v>500</v>
      </c>
      <c r="I1384" s="54" t="s">
        <v>343</v>
      </c>
      <c r="J1384" s="54"/>
      <c r="K1384" s="54"/>
      <c r="L1384" s="54"/>
      <c r="M1384" s="54"/>
    </row>
    <row r="1385" spans="1:14" x14ac:dyDescent="0.25">
      <c r="A1385" s="61"/>
      <c r="B1385" s="34"/>
      <c r="C1385" s="3" t="s">
        <v>232</v>
      </c>
      <c r="D1385" s="5">
        <v>2E-3</v>
      </c>
      <c r="E1385" s="35">
        <f>(E1402*D1385)</f>
        <v>7</v>
      </c>
      <c r="F1385" s="36"/>
      <c r="I1385" s="59" t="s">
        <v>344</v>
      </c>
      <c r="J1385" s="59"/>
      <c r="K1385" s="59"/>
      <c r="L1385" s="59"/>
      <c r="M1385" s="59"/>
    </row>
    <row r="1386" spans="1:14" x14ac:dyDescent="0.25">
      <c r="A1386" s="61"/>
      <c r="B1386" s="34" t="s">
        <v>314</v>
      </c>
      <c r="C1386" s="3" t="s">
        <v>166</v>
      </c>
      <c r="D1386" s="5">
        <v>0.02</v>
      </c>
      <c r="E1386" s="35">
        <f>(E1402*D1386)</f>
        <v>70</v>
      </c>
      <c r="F1386" s="36"/>
      <c r="I1386" s="3" t="s">
        <v>3</v>
      </c>
      <c r="J1386" s="3" t="s">
        <v>97</v>
      </c>
      <c r="L1386" s="3" t="s">
        <v>5</v>
      </c>
      <c r="M1386" s="3" t="s">
        <v>7</v>
      </c>
      <c r="N1386" s="3" t="s">
        <v>313</v>
      </c>
    </row>
    <row r="1387" spans="1:14" x14ac:dyDescent="0.25">
      <c r="A1387" s="61"/>
      <c r="B1387" s="34" t="s">
        <v>315</v>
      </c>
      <c r="C1387" s="3" t="s">
        <v>13</v>
      </c>
      <c r="D1387" s="5">
        <v>2E-3</v>
      </c>
      <c r="E1387" s="35">
        <f>(E1402*D1387)</f>
        <v>7</v>
      </c>
      <c r="F1387" s="36"/>
      <c r="I1387" s="60" t="s">
        <v>293</v>
      </c>
      <c r="J1387" s="34"/>
      <c r="K1387" s="3" t="s">
        <v>10</v>
      </c>
      <c r="L1387" s="5">
        <v>0.15409999999999999</v>
      </c>
      <c r="M1387" s="35">
        <f>(M1405*L1387)</f>
        <v>539.34999999999991</v>
      </c>
      <c r="N1387" s="36">
        <v>500</v>
      </c>
    </row>
    <row r="1388" spans="1:14" x14ac:dyDescent="0.25">
      <c r="A1388" s="61"/>
      <c r="B1388" s="34" t="s">
        <v>314</v>
      </c>
      <c r="C1388" s="3" t="s">
        <v>20</v>
      </c>
      <c r="D1388" s="5">
        <v>5.0000000000000001E-4</v>
      </c>
      <c r="E1388" s="35">
        <f>(E1402*D1388)</f>
        <v>1.75</v>
      </c>
      <c r="F1388" s="36">
        <v>600</v>
      </c>
      <c r="I1388" s="61"/>
      <c r="J1388" s="34"/>
      <c r="K1388" s="3" t="s">
        <v>232</v>
      </c>
      <c r="L1388" s="5">
        <v>2E-3</v>
      </c>
      <c r="M1388" s="35">
        <f>(M1405*L1388)</f>
        <v>7</v>
      </c>
      <c r="N1388" s="36"/>
    </row>
    <row r="1389" spans="1:14" x14ac:dyDescent="0.25">
      <c r="A1389" s="61"/>
      <c r="B1389" s="37" t="s">
        <v>315</v>
      </c>
      <c r="C1389" s="3" t="s">
        <v>51</v>
      </c>
      <c r="D1389" s="5">
        <v>2.5999999999999999E-3</v>
      </c>
      <c r="E1389" s="35">
        <f>(E1402*D1389)</f>
        <v>9.1</v>
      </c>
      <c r="F1389" s="36">
        <v>800</v>
      </c>
      <c r="I1389" s="61"/>
      <c r="J1389" s="34" t="s">
        <v>314</v>
      </c>
      <c r="K1389" s="3" t="s">
        <v>166</v>
      </c>
      <c r="L1389" s="5">
        <v>0.02</v>
      </c>
      <c r="M1389" s="35">
        <f>(M1405*L1389)</f>
        <v>70</v>
      </c>
      <c r="N1389" s="36"/>
    </row>
    <row r="1390" spans="1:14" x14ac:dyDescent="0.25">
      <c r="A1390" s="61"/>
      <c r="B1390" s="37"/>
      <c r="C1390" s="3" t="s">
        <v>20</v>
      </c>
      <c r="D1390" s="5">
        <v>5.0000000000000001E-4</v>
      </c>
      <c r="E1390" s="35">
        <f>(E1402*D1390)</f>
        <v>1.75</v>
      </c>
      <c r="F1390" s="36"/>
      <c r="I1390" s="61"/>
      <c r="J1390" s="34" t="s">
        <v>315</v>
      </c>
      <c r="K1390" s="3" t="s">
        <v>13</v>
      </c>
      <c r="L1390" s="5">
        <v>2E-3</v>
      </c>
      <c r="M1390" s="35">
        <f>(M1405*L1390)</f>
        <v>7</v>
      </c>
      <c r="N1390" s="36"/>
    </row>
    <row r="1391" spans="1:14" x14ac:dyDescent="0.25">
      <c r="A1391" s="25" t="s">
        <v>324</v>
      </c>
      <c r="B1391" s="37" t="s">
        <v>316</v>
      </c>
      <c r="C1391" s="3" t="s">
        <v>296</v>
      </c>
      <c r="D1391" s="5">
        <v>4.4999999999999997E-3</v>
      </c>
      <c r="E1391" s="35">
        <f>(E1402*D1391)</f>
        <v>15.749999999999998</v>
      </c>
      <c r="F1391" s="36">
        <v>1130</v>
      </c>
      <c r="I1391" s="61"/>
      <c r="J1391" s="34" t="s">
        <v>314</v>
      </c>
      <c r="K1391" s="3" t="s">
        <v>20</v>
      </c>
      <c r="L1391" s="5">
        <v>5.0000000000000001E-4</v>
      </c>
      <c r="M1391" s="35">
        <f>(M1405*L1391)</f>
        <v>1.75</v>
      </c>
      <c r="N1391" s="36">
        <v>600</v>
      </c>
    </row>
    <row r="1392" spans="1:14" x14ac:dyDescent="0.25">
      <c r="A1392" s="25"/>
      <c r="B1392" s="37"/>
      <c r="C1392" s="3" t="s">
        <v>20</v>
      </c>
      <c r="D1392" s="5">
        <v>5.0000000000000001E-4</v>
      </c>
      <c r="E1392" s="35">
        <f>(E1402*D1392)</f>
        <v>1.75</v>
      </c>
      <c r="F1392" s="36"/>
      <c r="I1392" s="61"/>
      <c r="J1392" s="37"/>
      <c r="K1392" s="3" t="s">
        <v>51</v>
      </c>
      <c r="L1392" s="5">
        <v>2.5999999999999999E-3</v>
      </c>
      <c r="M1392" s="35">
        <f>(M1405*L1392)</f>
        <v>9.1</v>
      </c>
      <c r="N1392" s="36">
        <v>800</v>
      </c>
    </row>
    <row r="1393" spans="1:14" x14ac:dyDescent="0.25">
      <c r="A1393" s="16" t="s">
        <v>99</v>
      </c>
      <c r="B1393" s="37" t="s">
        <v>317</v>
      </c>
      <c r="C1393" s="3" t="s">
        <v>24</v>
      </c>
      <c r="D1393" s="5">
        <v>0.11600000000000001</v>
      </c>
      <c r="E1393" s="35">
        <f>(E1402*D1393)</f>
        <v>406</v>
      </c>
      <c r="F1393" s="36">
        <v>800</v>
      </c>
      <c r="I1393" s="61"/>
      <c r="J1393" s="37" t="s">
        <v>315</v>
      </c>
      <c r="K1393" s="3" t="s">
        <v>20</v>
      </c>
      <c r="L1393" s="5">
        <v>5.0000000000000001E-4</v>
      </c>
      <c r="M1393" s="35">
        <f>(M1405*L1393)</f>
        <v>1.75</v>
      </c>
      <c r="N1393" s="36"/>
    </row>
    <row r="1394" spans="1:14" ht="27.6" x14ac:dyDescent="0.25">
      <c r="A1394" s="16" t="s">
        <v>100</v>
      </c>
      <c r="B1394" s="37" t="s">
        <v>317</v>
      </c>
      <c r="C1394" s="3" t="s">
        <v>28</v>
      </c>
      <c r="D1394" s="5">
        <v>9.64E-2</v>
      </c>
      <c r="E1394" s="35">
        <f>(E1402*D1394)</f>
        <v>337.4</v>
      </c>
      <c r="F1394" s="36">
        <v>900</v>
      </c>
      <c r="I1394" s="25" t="s">
        <v>324</v>
      </c>
      <c r="J1394" s="37"/>
      <c r="K1394" s="3" t="s">
        <v>296</v>
      </c>
      <c r="L1394" s="5">
        <v>4.4999999999999997E-3</v>
      </c>
      <c r="M1394" s="35">
        <f>(M1405*L1394)</f>
        <v>15.749999999999998</v>
      </c>
      <c r="N1394" s="36">
        <v>1130</v>
      </c>
    </row>
    <row r="1395" spans="1:14" x14ac:dyDescent="0.25">
      <c r="A1395" s="16" t="s">
        <v>288</v>
      </c>
      <c r="B1395" s="37" t="s">
        <v>317</v>
      </c>
      <c r="C1395" s="3" t="s">
        <v>30</v>
      </c>
      <c r="D1395" s="5">
        <v>9.64E-2</v>
      </c>
      <c r="E1395" s="35">
        <f>(E1402*D1395)</f>
        <v>337.4</v>
      </c>
      <c r="F1395" s="36">
        <v>1130</v>
      </c>
      <c r="I1395" s="25"/>
      <c r="J1395" s="37" t="s">
        <v>316</v>
      </c>
      <c r="K1395" s="3" t="s">
        <v>20</v>
      </c>
      <c r="L1395" s="5">
        <v>5.0000000000000001E-4</v>
      </c>
      <c r="M1395" s="35">
        <f>(M1405*L1395)</f>
        <v>1.75</v>
      </c>
      <c r="N1395" s="36"/>
    </row>
    <row r="1396" spans="1:14" x14ac:dyDescent="0.25">
      <c r="A1396" s="16" t="s">
        <v>282</v>
      </c>
      <c r="B1396" s="37"/>
      <c r="C1396" s="15" t="s">
        <v>70</v>
      </c>
      <c r="D1396" s="5">
        <v>0.01</v>
      </c>
      <c r="E1396" s="35">
        <f>(E1402*D1396)</f>
        <v>35</v>
      </c>
      <c r="F1396" s="36">
        <v>700</v>
      </c>
      <c r="I1396" s="16" t="s">
        <v>99</v>
      </c>
      <c r="J1396" s="37" t="s">
        <v>317</v>
      </c>
      <c r="K1396" s="3" t="s">
        <v>24</v>
      </c>
      <c r="L1396" s="5">
        <v>0.11600000000000001</v>
      </c>
      <c r="M1396" s="35">
        <f>(M1405*L1396)</f>
        <v>406</v>
      </c>
      <c r="N1396" s="36">
        <v>800</v>
      </c>
    </row>
    <row r="1397" spans="1:14" ht="27.6" x14ac:dyDescent="0.25">
      <c r="A1397" s="26" t="s">
        <v>103</v>
      </c>
      <c r="B1397" s="37" t="s">
        <v>317</v>
      </c>
      <c r="C1397" s="15" t="s">
        <v>124</v>
      </c>
      <c r="D1397" s="5">
        <v>0.24299999999999999</v>
      </c>
      <c r="E1397" s="35">
        <f>(E1402*D1397)</f>
        <v>850.5</v>
      </c>
      <c r="F1397" s="36">
        <v>1130</v>
      </c>
      <c r="I1397" s="16" t="s">
        <v>100</v>
      </c>
      <c r="J1397" s="37" t="s">
        <v>317</v>
      </c>
      <c r="K1397" s="3" t="s">
        <v>28</v>
      </c>
      <c r="L1397" s="5">
        <v>9.64E-2</v>
      </c>
      <c r="M1397" s="35">
        <f>(M1405*L1397)</f>
        <v>337.4</v>
      </c>
      <c r="N1397" s="36">
        <v>900</v>
      </c>
    </row>
    <row r="1398" spans="1:14" x14ac:dyDescent="0.25">
      <c r="A1398" s="26" t="s">
        <v>283</v>
      </c>
      <c r="B1398" s="37"/>
      <c r="C1398" s="15" t="s">
        <v>342</v>
      </c>
      <c r="D1398" s="32">
        <v>8.5000000000000006E-2</v>
      </c>
      <c r="E1398" s="35">
        <f>(E1402*D1398)</f>
        <v>297.5</v>
      </c>
      <c r="F1398" s="36">
        <v>900</v>
      </c>
      <c r="I1398" s="16" t="s">
        <v>288</v>
      </c>
      <c r="J1398" s="37" t="s">
        <v>317</v>
      </c>
      <c r="K1398" s="3" t="s">
        <v>30</v>
      </c>
      <c r="L1398" s="5">
        <v>9.64E-2</v>
      </c>
      <c r="M1398" s="35">
        <f>(M1405*L1398)</f>
        <v>337.4</v>
      </c>
      <c r="N1398" s="36">
        <v>1130</v>
      </c>
    </row>
    <row r="1399" spans="1:14" x14ac:dyDescent="0.25">
      <c r="A1399" s="26" t="s">
        <v>131</v>
      </c>
      <c r="B1399" s="37" t="s">
        <v>315</v>
      </c>
      <c r="C1399" s="15" t="s">
        <v>130</v>
      </c>
      <c r="D1399" s="5">
        <v>0.03</v>
      </c>
      <c r="E1399" s="35">
        <f>(E1402*D1399)</f>
        <v>105</v>
      </c>
      <c r="F1399" s="36">
        <v>1100</v>
      </c>
      <c r="I1399" s="16" t="s">
        <v>282</v>
      </c>
      <c r="J1399" s="37"/>
      <c r="K1399" s="15" t="s">
        <v>70</v>
      </c>
      <c r="L1399" s="5">
        <v>0.01</v>
      </c>
      <c r="M1399" s="35">
        <f>(M1405*L1399)</f>
        <v>35</v>
      </c>
      <c r="N1399" s="36">
        <v>700</v>
      </c>
    </row>
    <row r="1400" spans="1:14" ht="27.6" x14ac:dyDescent="0.25">
      <c r="A1400" s="62" t="s">
        <v>133</v>
      </c>
      <c r="B1400" s="37"/>
      <c r="C1400" s="15" t="s">
        <v>342</v>
      </c>
      <c r="D1400" s="5">
        <v>0.13500000000000001</v>
      </c>
      <c r="E1400" s="35">
        <f>(E1402*D1400)</f>
        <v>472.50000000000006</v>
      </c>
      <c r="F1400" s="36">
        <v>700</v>
      </c>
      <c r="I1400" s="26" t="s">
        <v>103</v>
      </c>
      <c r="J1400" s="37" t="s">
        <v>317</v>
      </c>
      <c r="K1400" s="15" t="s">
        <v>124</v>
      </c>
      <c r="L1400" s="5">
        <v>0.24299999999999999</v>
      </c>
      <c r="M1400" s="35">
        <f>(M1405*L1400)</f>
        <v>850.5</v>
      </c>
      <c r="N1400" s="36">
        <v>1130</v>
      </c>
    </row>
    <row r="1401" spans="1:14" x14ac:dyDescent="0.25">
      <c r="A1401" s="63"/>
      <c r="B1401" s="37" t="s">
        <v>315</v>
      </c>
      <c r="C1401" s="15" t="s">
        <v>20</v>
      </c>
      <c r="D1401" s="5">
        <v>1.5E-3</v>
      </c>
      <c r="E1401" s="35">
        <f>(E1402*D1401)</f>
        <v>5.25</v>
      </c>
      <c r="F1401" s="36"/>
      <c r="I1401" s="26" t="s">
        <v>283</v>
      </c>
      <c r="J1401" s="37"/>
      <c r="K1401" s="15" t="s">
        <v>345</v>
      </c>
      <c r="L1401" s="32">
        <v>8.5000000000000006E-2</v>
      </c>
      <c r="M1401" s="35">
        <f>(M1405*L1401)</f>
        <v>297.5</v>
      </c>
      <c r="N1401" s="36">
        <v>900</v>
      </c>
    </row>
    <row r="1402" spans="1:14" x14ac:dyDescent="0.25">
      <c r="A1402" s="2"/>
      <c r="B1402" s="12"/>
      <c r="C1402" s="2"/>
      <c r="D1402" s="13">
        <f>SUM(D1384:D1401)</f>
        <v>0.99999999999999989</v>
      </c>
      <c r="E1402" s="19">
        <v>3500</v>
      </c>
      <c r="I1402" s="26" t="s">
        <v>131</v>
      </c>
      <c r="J1402" s="37" t="s">
        <v>315</v>
      </c>
      <c r="K1402" s="15" t="s">
        <v>130</v>
      </c>
      <c r="L1402" s="5">
        <v>0.03</v>
      </c>
      <c r="M1402" s="35">
        <f>(M1405*L1402)</f>
        <v>105</v>
      </c>
      <c r="N1402" s="36">
        <v>1100</v>
      </c>
    </row>
    <row r="1403" spans="1:14" x14ac:dyDescent="0.25">
      <c r="C1403" s="33">
        <f>SUM(D1389+D1391+D1393+D1394+D1395+D1397+D1398*0.55+D1399+D1400*0.55)</f>
        <v>0.70989999999999998</v>
      </c>
      <c r="E1403" s="24">
        <f>SUM(E1384:E1401)</f>
        <v>3500</v>
      </c>
      <c r="I1403" s="62" t="s">
        <v>133</v>
      </c>
      <c r="J1403" s="37"/>
      <c r="K1403" s="15" t="s">
        <v>345</v>
      </c>
      <c r="L1403" s="5">
        <v>0.13500000000000001</v>
      </c>
      <c r="M1403" s="35">
        <f>(M1405*L1403)</f>
        <v>472.50000000000006</v>
      </c>
      <c r="N1403" s="36">
        <v>700</v>
      </c>
    </row>
    <row r="1404" spans="1:14" x14ac:dyDescent="0.25">
      <c r="I1404" s="63"/>
      <c r="J1404" s="37" t="s">
        <v>315</v>
      </c>
      <c r="K1404" s="15" t="s">
        <v>20</v>
      </c>
      <c r="L1404" s="5">
        <v>1.5E-3</v>
      </c>
      <c r="M1404" s="35">
        <f>(M1405*L1404)</f>
        <v>5.25</v>
      </c>
      <c r="N1404" s="36"/>
    </row>
    <row r="1405" spans="1:14" x14ac:dyDescent="0.25">
      <c r="I1405" s="2"/>
      <c r="J1405" s="12"/>
      <c r="K1405" s="2"/>
      <c r="L1405" s="13">
        <f>SUM(L1387:L1404)</f>
        <v>0.99999999999999989</v>
      </c>
      <c r="M1405" s="19">
        <v>3500</v>
      </c>
    </row>
    <row r="1406" spans="1:14" x14ac:dyDescent="0.25">
      <c r="K1406" s="33">
        <f>SUM(L1392+L1394+L1396+L1397+L1398+L1400+L1401*0.55+L1402+L1403*0.55)</f>
        <v>0.70989999999999998</v>
      </c>
      <c r="M1406" s="24">
        <f>SUM(M1387:M1404)</f>
        <v>3500</v>
      </c>
    </row>
    <row r="1409" spans="1:14" x14ac:dyDescent="0.25">
      <c r="A1409" s="54" t="s">
        <v>346</v>
      </c>
      <c r="B1409" s="54"/>
      <c r="C1409" s="54"/>
      <c r="D1409" s="54"/>
      <c r="E1409" s="54"/>
    </row>
    <row r="1410" spans="1:14" x14ac:dyDescent="0.25">
      <c r="A1410" s="59" t="s">
        <v>348</v>
      </c>
      <c r="B1410" s="59"/>
      <c r="C1410" s="59"/>
      <c r="D1410" s="59"/>
      <c r="E1410" s="59"/>
    </row>
    <row r="1411" spans="1:14" x14ac:dyDescent="0.25">
      <c r="A1411" s="3" t="s">
        <v>3</v>
      </c>
      <c r="B1411" s="3" t="s">
        <v>97</v>
      </c>
      <c r="D1411" s="3" t="s">
        <v>5</v>
      </c>
      <c r="E1411" s="3" t="s">
        <v>7</v>
      </c>
      <c r="F1411" s="3" t="s">
        <v>313</v>
      </c>
    </row>
    <row r="1412" spans="1:14" x14ac:dyDescent="0.25">
      <c r="A1412" s="60" t="s">
        <v>293</v>
      </c>
      <c r="B1412" s="34"/>
      <c r="C1412" s="3" t="s">
        <v>10</v>
      </c>
      <c r="D1412" s="5">
        <v>0.1396</v>
      </c>
      <c r="E1412" s="35">
        <f>(E1430*D1412)</f>
        <v>558.4</v>
      </c>
      <c r="F1412" s="36">
        <v>500</v>
      </c>
      <c r="I1412" s="54" t="s">
        <v>347</v>
      </c>
      <c r="J1412" s="54"/>
      <c r="K1412" s="54"/>
      <c r="L1412" s="54"/>
      <c r="M1412" s="54"/>
    </row>
    <row r="1413" spans="1:14" x14ac:dyDescent="0.25">
      <c r="A1413" s="61"/>
      <c r="B1413" s="34"/>
      <c r="C1413" s="3" t="s">
        <v>232</v>
      </c>
      <c r="D1413" s="5">
        <v>2E-3</v>
      </c>
      <c r="E1413" s="35">
        <f>(E1430*D1413)</f>
        <v>8</v>
      </c>
      <c r="F1413" s="36"/>
      <c r="I1413" s="59" t="s">
        <v>349</v>
      </c>
      <c r="J1413" s="59"/>
      <c r="K1413" s="59"/>
      <c r="L1413" s="59"/>
      <c r="M1413" s="59"/>
    </row>
    <row r="1414" spans="1:14" x14ac:dyDescent="0.25">
      <c r="A1414" s="61"/>
      <c r="B1414" s="34" t="s">
        <v>314</v>
      </c>
      <c r="C1414" s="3" t="s">
        <v>166</v>
      </c>
      <c r="D1414" s="5">
        <v>0.02</v>
      </c>
      <c r="E1414" s="35">
        <f>(E1430*D1414)</f>
        <v>80</v>
      </c>
      <c r="F1414" s="36"/>
      <c r="I1414" s="3" t="s">
        <v>3</v>
      </c>
      <c r="J1414" s="3" t="s">
        <v>97</v>
      </c>
      <c r="L1414" s="3" t="s">
        <v>5</v>
      </c>
      <c r="M1414" s="3" t="s">
        <v>7</v>
      </c>
      <c r="N1414" s="3" t="s">
        <v>313</v>
      </c>
    </row>
    <row r="1415" spans="1:14" x14ac:dyDescent="0.25">
      <c r="A1415" s="61"/>
      <c r="B1415" s="34" t="s">
        <v>315</v>
      </c>
      <c r="C1415" s="3" t="s">
        <v>13</v>
      </c>
      <c r="D1415" s="5">
        <v>2E-3</v>
      </c>
      <c r="E1415" s="35">
        <f>(E1430*D1415)</f>
        <v>8</v>
      </c>
      <c r="F1415" s="36"/>
      <c r="I1415" s="60" t="s">
        <v>293</v>
      </c>
      <c r="J1415" s="34"/>
      <c r="K1415" s="3" t="s">
        <v>10</v>
      </c>
      <c r="L1415" s="5">
        <v>0.1396</v>
      </c>
      <c r="M1415" s="35">
        <f>(M1433*L1415)</f>
        <v>628.20000000000005</v>
      </c>
      <c r="N1415" s="36">
        <v>200</v>
      </c>
    </row>
    <row r="1416" spans="1:14" x14ac:dyDescent="0.25">
      <c r="A1416" s="61"/>
      <c r="B1416" s="34" t="s">
        <v>314</v>
      </c>
      <c r="C1416" s="3" t="s">
        <v>20</v>
      </c>
      <c r="D1416" s="5">
        <v>5.0000000000000001E-4</v>
      </c>
      <c r="E1416" s="35">
        <f>(E1430*D1416)</f>
        <v>2</v>
      </c>
      <c r="F1416" s="36">
        <v>600</v>
      </c>
      <c r="I1416" s="61"/>
      <c r="J1416" s="34"/>
      <c r="K1416" s="3" t="s">
        <v>232</v>
      </c>
      <c r="L1416" s="5">
        <v>2E-3</v>
      </c>
      <c r="M1416" s="35">
        <f>(M1433*L1416)</f>
        <v>9</v>
      </c>
      <c r="N1416" s="36">
        <v>200</v>
      </c>
    </row>
    <row r="1417" spans="1:14" x14ac:dyDescent="0.25">
      <c r="A1417" s="61"/>
      <c r="B1417" s="37"/>
      <c r="C1417" s="3" t="s">
        <v>51</v>
      </c>
      <c r="D1417" s="5">
        <v>2.5999999999999999E-3</v>
      </c>
      <c r="E1417" s="35">
        <f>(E1430*D1417)</f>
        <v>10.4</v>
      </c>
      <c r="F1417" s="36">
        <v>800</v>
      </c>
      <c r="I1417" s="61"/>
      <c r="J1417" s="34" t="s">
        <v>314</v>
      </c>
      <c r="K1417" s="3" t="s">
        <v>166</v>
      </c>
      <c r="L1417" s="5">
        <v>0.02</v>
      </c>
      <c r="M1417" s="35">
        <f>(M1433*L1417)</f>
        <v>90</v>
      </c>
      <c r="N1417" s="36">
        <v>200</v>
      </c>
    </row>
    <row r="1418" spans="1:14" x14ac:dyDescent="0.25">
      <c r="A1418" s="61"/>
      <c r="B1418" s="37" t="s">
        <v>315</v>
      </c>
      <c r="C1418" s="3" t="s">
        <v>20</v>
      </c>
      <c r="D1418" s="5">
        <v>5.0000000000000001E-4</v>
      </c>
      <c r="E1418" s="35">
        <f>(E1430*D1418)</f>
        <v>2</v>
      </c>
      <c r="F1418" s="36"/>
      <c r="I1418" s="61"/>
      <c r="J1418" s="34" t="s">
        <v>315</v>
      </c>
      <c r="K1418" s="3" t="s">
        <v>13</v>
      </c>
      <c r="L1418" s="5">
        <v>2E-3</v>
      </c>
      <c r="M1418" s="35">
        <f>(M1433*L1418)</f>
        <v>9</v>
      </c>
      <c r="N1418" s="36">
        <v>330</v>
      </c>
    </row>
    <row r="1419" spans="1:14" x14ac:dyDescent="0.25">
      <c r="A1419" s="25" t="s">
        <v>324</v>
      </c>
      <c r="B1419" s="37"/>
      <c r="C1419" s="3" t="s">
        <v>296</v>
      </c>
      <c r="D1419" s="5">
        <v>4.4999999999999997E-3</v>
      </c>
      <c r="E1419" s="35">
        <f>(E1430*D1419)</f>
        <v>18</v>
      </c>
      <c r="F1419" s="36">
        <v>1130</v>
      </c>
      <c r="I1419" s="61"/>
      <c r="J1419" s="34" t="s">
        <v>314</v>
      </c>
      <c r="K1419" s="3" t="s">
        <v>20</v>
      </c>
      <c r="L1419" s="5">
        <v>5.0000000000000001E-4</v>
      </c>
      <c r="M1419" s="35">
        <f>(M1433*L1419)</f>
        <v>2.25</v>
      </c>
      <c r="N1419" s="36">
        <v>350</v>
      </c>
    </row>
    <row r="1420" spans="1:14" x14ac:dyDescent="0.25">
      <c r="A1420" s="25"/>
      <c r="B1420" s="37" t="s">
        <v>316</v>
      </c>
      <c r="C1420" s="3" t="s">
        <v>20</v>
      </c>
      <c r="D1420" s="5">
        <v>5.0000000000000001E-4</v>
      </c>
      <c r="E1420" s="35">
        <f>(E1430*D1420)</f>
        <v>2</v>
      </c>
      <c r="F1420" s="36"/>
      <c r="I1420" s="61"/>
      <c r="J1420" s="37"/>
      <c r="K1420" s="3" t="s">
        <v>51</v>
      </c>
      <c r="L1420" s="5">
        <v>2.5999999999999999E-3</v>
      </c>
      <c r="M1420" s="35">
        <f>(M1433*L1420)</f>
        <v>11.7</v>
      </c>
      <c r="N1420" s="36">
        <v>390</v>
      </c>
    </row>
    <row r="1421" spans="1:14" x14ac:dyDescent="0.25">
      <c r="A1421" s="16" t="s">
        <v>99</v>
      </c>
      <c r="B1421" s="37" t="s">
        <v>317</v>
      </c>
      <c r="C1421" s="3" t="s">
        <v>24</v>
      </c>
      <c r="D1421" s="5">
        <v>0.11600000000000001</v>
      </c>
      <c r="E1421" s="35">
        <f>(E1430*D1421)</f>
        <v>464</v>
      </c>
      <c r="F1421" s="36">
        <v>800</v>
      </c>
      <c r="I1421" s="61"/>
      <c r="J1421" s="37" t="s">
        <v>315</v>
      </c>
      <c r="K1421" s="3" t="s">
        <v>20</v>
      </c>
      <c r="L1421" s="5">
        <v>5.0000000000000001E-4</v>
      </c>
      <c r="M1421" s="35">
        <f>(M1433*L1421)</f>
        <v>2.25</v>
      </c>
      <c r="N1421" s="36">
        <v>485</v>
      </c>
    </row>
    <row r="1422" spans="1:14" ht="27.6" x14ac:dyDescent="0.25">
      <c r="A1422" s="16" t="s">
        <v>100</v>
      </c>
      <c r="B1422" s="37" t="s">
        <v>317</v>
      </c>
      <c r="C1422" s="3" t="s">
        <v>28</v>
      </c>
      <c r="D1422" s="5">
        <v>9.64E-2</v>
      </c>
      <c r="E1422" s="35">
        <f>(E1430*D1422)</f>
        <v>385.6</v>
      </c>
      <c r="F1422" s="36">
        <v>900</v>
      </c>
      <c r="I1422" s="25" t="s">
        <v>324</v>
      </c>
      <c r="J1422" s="37"/>
      <c r="K1422" s="3" t="s">
        <v>296</v>
      </c>
      <c r="L1422" s="5">
        <v>4.4999999999999997E-3</v>
      </c>
      <c r="M1422" s="35">
        <f>(M1433*L1422)</f>
        <v>20.25</v>
      </c>
      <c r="N1422" s="36">
        <v>1000</v>
      </c>
    </row>
    <row r="1423" spans="1:14" x14ac:dyDescent="0.25">
      <c r="A1423" s="16" t="s">
        <v>288</v>
      </c>
      <c r="B1423" s="37" t="s">
        <v>317</v>
      </c>
      <c r="C1423" s="3" t="s">
        <v>30</v>
      </c>
      <c r="D1423" s="5">
        <v>9.64E-2</v>
      </c>
      <c r="E1423" s="35">
        <f>(E1430*D1423)</f>
        <v>385.6</v>
      </c>
      <c r="F1423" s="36">
        <v>1130</v>
      </c>
      <c r="I1423" s="25"/>
      <c r="J1423" s="37" t="s">
        <v>316</v>
      </c>
      <c r="K1423" s="3" t="s">
        <v>20</v>
      </c>
      <c r="L1423" s="5">
        <v>5.0000000000000001E-4</v>
      </c>
      <c r="M1423" s="35">
        <f>(M1433*L1423)</f>
        <v>2.25</v>
      </c>
      <c r="N1423" s="36"/>
    </row>
    <row r="1424" spans="1:14" x14ac:dyDescent="0.25">
      <c r="A1424" s="16" t="s">
        <v>282</v>
      </c>
      <c r="B1424" s="37"/>
      <c r="C1424" s="15" t="s">
        <v>70</v>
      </c>
      <c r="D1424" s="5">
        <v>5.0000000000000001E-3</v>
      </c>
      <c r="E1424" s="35">
        <f>(E1430*D1424)</f>
        <v>20</v>
      </c>
      <c r="F1424" s="36">
        <v>700</v>
      </c>
      <c r="I1424" s="16" t="s">
        <v>99</v>
      </c>
      <c r="J1424" s="37" t="s">
        <v>317</v>
      </c>
      <c r="K1424" s="3" t="s">
        <v>178</v>
      </c>
      <c r="L1424" s="5">
        <v>0.11600000000000001</v>
      </c>
      <c r="M1424" s="35">
        <f>(M1433*L1424)</f>
        <v>522</v>
      </c>
      <c r="N1424" s="36">
        <v>800</v>
      </c>
    </row>
    <row r="1425" spans="1:14" ht="27.6" x14ac:dyDescent="0.25">
      <c r="A1425" s="26" t="s">
        <v>103</v>
      </c>
      <c r="B1425" s="37" t="s">
        <v>317</v>
      </c>
      <c r="C1425" s="15" t="s">
        <v>32</v>
      </c>
      <c r="D1425" s="5">
        <v>0.24299999999999999</v>
      </c>
      <c r="E1425" s="35">
        <f>(E1430*D1425)</f>
        <v>972</v>
      </c>
      <c r="F1425" s="36">
        <v>1130</v>
      </c>
      <c r="I1425" s="16" t="s">
        <v>100</v>
      </c>
      <c r="J1425" s="37" t="s">
        <v>317</v>
      </c>
      <c r="K1425" s="3" t="s">
        <v>28</v>
      </c>
      <c r="L1425" s="5">
        <v>9.64E-2</v>
      </c>
      <c r="M1425" s="35">
        <f>(M1433*L1425)</f>
        <v>433.8</v>
      </c>
      <c r="N1425" s="36">
        <v>850</v>
      </c>
    </row>
    <row r="1426" spans="1:14" x14ac:dyDescent="0.25">
      <c r="A1426" s="26" t="s">
        <v>283</v>
      </c>
      <c r="B1426" s="37"/>
      <c r="C1426" s="15" t="s">
        <v>153</v>
      </c>
      <c r="D1426" s="32">
        <v>8.5000000000000006E-2</v>
      </c>
      <c r="E1426" s="35">
        <f>(E1430*D1426)</f>
        <v>340</v>
      </c>
      <c r="F1426" s="36">
        <v>900</v>
      </c>
      <c r="I1426" s="16" t="s">
        <v>288</v>
      </c>
      <c r="J1426" s="37" t="s">
        <v>317</v>
      </c>
      <c r="K1426" s="3" t="s">
        <v>30</v>
      </c>
      <c r="L1426" s="5">
        <v>9.64E-2</v>
      </c>
      <c r="M1426" s="35">
        <f>(M1433*L1426)</f>
        <v>433.8</v>
      </c>
      <c r="N1426" s="36">
        <v>900</v>
      </c>
    </row>
    <row r="1427" spans="1:14" x14ac:dyDescent="0.25">
      <c r="A1427" s="26" t="s">
        <v>131</v>
      </c>
      <c r="B1427" s="37" t="s">
        <v>315</v>
      </c>
      <c r="C1427" s="15" t="s">
        <v>130</v>
      </c>
      <c r="D1427" s="5">
        <v>0.03</v>
      </c>
      <c r="E1427" s="35">
        <f>(E1430*D1427)</f>
        <v>120</v>
      </c>
      <c r="F1427" s="36">
        <v>1100</v>
      </c>
      <c r="I1427" s="16" t="s">
        <v>282</v>
      </c>
      <c r="J1427" s="37"/>
      <c r="K1427" s="15" t="s">
        <v>70</v>
      </c>
      <c r="L1427" s="5">
        <v>5.0000000000000001E-3</v>
      </c>
      <c r="M1427" s="35">
        <f>(M1433*L1427)</f>
        <v>22.5</v>
      </c>
      <c r="N1427" s="36">
        <v>600</v>
      </c>
    </row>
    <row r="1428" spans="1:14" ht="27.6" x14ac:dyDescent="0.25">
      <c r="A1428" s="62" t="s">
        <v>133</v>
      </c>
      <c r="B1428" s="37"/>
      <c r="C1428" s="15" t="s">
        <v>153</v>
      </c>
      <c r="D1428" s="5">
        <v>0.1545</v>
      </c>
      <c r="E1428" s="35">
        <f>(E1430*D1428)</f>
        <v>618</v>
      </c>
      <c r="F1428" s="36">
        <v>700</v>
      </c>
      <c r="I1428" s="26" t="s">
        <v>103</v>
      </c>
      <c r="J1428" s="37" t="s">
        <v>317</v>
      </c>
      <c r="K1428" s="15" t="s">
        <v>124</v>
      </c>
      <c r="L1428" s="5">
        <v>0.24299999999999999</v>
      </c>
      <c r="M1428" s="35">
        <f>(M1433*L1428)</f>
        <v>1093.5</v>
      </c>
      <c r="N1428" s="36">
        <v>600</v>
      </c>
    </row>
    <row r="1429" spans="1:14" x14ac:dyDescent="0.25">
      <c r="A1429" s="63"/>
      <c r="B1429" s="37" t="s">
        <v>315</v>
      </c>
      <c r="C1429" s="15" t="s">
        <v>20</v>
      </c>
      <c r="D1429" s="5">
        <v>1.5E-3</v>
      </c>
      <c r="E1429" s="35">
        <f>(E1430*D1429)</f>
        <v>6</v>
      </c>
      <c r="F1429" s="36"/>
      <c r="I1429" s="26" t="s">
        <v>283</v>
      </c>
      <c r="J1429" s="37"/>
      <c r="K1429" s="15" t="s">
        <v>153</v>
      </c>
      <c r="L1429" s="32">
        <v>8.5000000000000006E-2</v>
      </c>
      <c r="M1429" s="35">
        <f>(M1433*L1429)</f>
        <v>382.5</v>
      </c>
      <c r="N1429" s="36">
        <v>600</v>
      </c>
    </row>
    <row r="1430" spans="1:14" x14ac:dyDescent="0.25">
      <c r="A1430" s="2"/>
      <c r="B1430" s="12"/>
      <c r="C1430" s="2"/>
      <c r="D1430" s="13">
        <f>SUM(D1412:D1429)</f>
        <v>0.99999999999999989</v>
      </c>
      <c r="E1430" s="19">
        <v>4000</v>
      </c>
      <c r="I1430" s="26" t="s">
        <v>131</v>
      </c>
      <c r="J1430" s="37" t="s">
        <v>315</v>
      </c>
      <c r="K1430" s="15" t="s">
        <v>130</v>
      </c>
      <c r="L1430" s="5">
        <v>0.03</v>
      </c>
      <c r="M1430" s="35">
        <f>(M1433*L1430)</f>
        <v>135</v>
      </c>
      <c r="N1430" s="36" t="s">
        <v>350</v>
      </c>
    </row>
    <row r="1431" spans="1:14" x14ac:dyDescent="0.25">
      <c r="C1431" s="33">
        <f>SUM(D1417+D1419+D1421+D1422+D1423+D1425+D1426*0.5+D1427+D1428*0.5)</f>
        <v>0.70865</v>
      </c>
      <c r="E1431" s="24">
        <f>SUM(E1412:E1429)</f>
        <v>4000</v>
      </c>
      <c r="I1431" s="62" t="s">
        <v>133</v>
      </c>
      <c r="J1431" s="37"/>
      <c r="K1431" s="15" t="s">
        <v>153</v>
      </c>
      <c r="L1431" s="5">
        <v>0.1545</v>
      </c>
      <c r="M1431" s="35">
        <f>(M1433*L1431)</f>
        <v>695.25</v>
      </c>
      <c r="N1431" s="36" t="s">
        <v>351</v>
      </c>
    </row>
    <row r="1432" spans="1:14" x14ac:dyDescent="0.25">
      <c r="I1432" s="63"/>
      <c r="J1432" s="37" t="s">
        <v>352</v>
      </c>
      <c r="K1432" s="15" t="s">
        <v>20</v>
      </c>
      <c r="L1432" s="5">
        <v>1.5E-3</v>
      </c>
      <c r="M1432" s="35">
        <f>(M1433*L1432)</f>
        <v>6.75</v>
      </c>
      <c r="N1432" s="36" t="s">
        <v>353</v>
      </c>
    </row>
    <row r="1433" spans="1:14" x14ac:dyDescent="0.25">
      <c r="I1433" s="2"/>
      <c r="J1433" s="12"/>
      <c r="K1433" s="2"/>
      <c r="L1433" s="13">
        <f>SUM(L1415:L1432)</f>
        <v>0.99999999999999989</v>
      </c>
      <c r="M1433" s="19">
        <v>4500</v>
      </c>
    </row>
    <row r="1434" spans="1:14" x14ac:dyDescent="0.25">
      <c r="K1434" s="33">
        <f>SUM(L1420+L1422+L1424+L1425+L1426+L1428+L1429*0.5+L1430+L1431*0.5)</f>
        <v>0.70865</v>
      </c>
      <c r="M1434" s="24">
        <f>SUM(M1415:M1432)</f>
        <v>4500</v>
      </c>
    </row>
    <row r="1435" spans="1:14" x14ac:dyDescent="0.25">
      <c r="A1435" s="54" t="s">
        <v>354</v>
      </c>
      <c r="B1435" s="54"/>
      <c r="C1435" s="54"/>
      <c r="D1435" s="54"/>
      <c r="E1435" s="54"/>
    </row>
    <row r="1436" spans="1:14" x14ac:dyDescent="0.25">
      <c r="A1436" s="39" t="s">
        <v>355</v>
      </c>
      <c r="B1436" s="39"/>
      <c r="C1436" s="39"/>
      <c r="D1436" s="39"/>
      <c r="E1436" s="39"/>
    </row>
    <row r="1437" spans="1:14" x14ac:dyDescent="0.25">
      <c r="A1437" s="3" t="s">
        <v>3</v>
      </c>
      <c r="B1437" s="3" t="s">
        <v>97</v>
      </c>
      <c r="D1437" s="3" t="s">
        <v>5</v>
      </c>
      <c r="E1437" s="3" t="s">
        <v>7</v>
      </c>
      <c r="F1437" s="3" t="s">
        <v>313</v>
      </c>
    </row>
    <row r="1438" spans="1:14" x14ac:dyDescent="0.25">
      <c r="A1438" s="60" t="s">
        <v>293</v>
      </c>
      <c r="B1438" s="34"/>
      <c r="C1438" s="3" t="s">
        <v>10</v>
      </c>
      <c r="D1438" s="5">
        <v>0.1399</v>
      </c>
      <c r="E1438" s="35">
        <f>(E1457*D1438)</f>
        <v>629.54999999999995</v>
      </c>
      <c r="F1438" s="36">
        <v>200</v>
      </c>
    </row>
    <row r="1439" spans="1:14" x14ac:dyDescent="0.25">
      <c r="A1439" s="61"/>
      <c r="B1439" s="34"/>
      <c r="C1439" s="3" t="s">
        <v>232</v>
      </c>
      <c r="D1439" s="5">
        <v>2E-3</v>
      </c>
      <c r="E1439" s="35">
        <f>(E1457*D1439)</f>
        <v>9</v>
      </c>
      <c r="F1439" s="36">
        <v>200</v>
      </c>
      <c r="I1439" s="54" t="s">
        <v>356</v>
      </c>
      <c r="J1439" s="54"/>
      <c r="K1439" s="54"/>
      <c r="L1439" s="54"/>
      <c r="M1439" s="54"/>
    </row>
    <row r="1440" spans="1:14" x14ac:dyDescent="0.25">
      <c r="A1440" s="61"/>
      <c r="B1440" s="34" t="s">
        <v>314</v>
      </c>
      <c r="C1440" s="3" t="s">
        <v>166</v>
      </c>
      <c r="D1440" s="5">
        <v>0.02</v>
      </c>
      <c r="E1440" s="35">
        <f>(E1457*D1440)</f>
        <v>90</v>
      </c>
      <c r="F1440" s="36">
        <v>200</v>
      </c>
      <c r="I1440" s="59" t="s">
        <v>357</v>
      </c>
      <c r="J1440" s="59"/>
      <c r="K1440" s="59"/>
      <c r="L1440" s="59"/>
      <c r="M1440" s="59"/>
    </row>
    <row r="1441" spans="1:15" x14ac:dyDescent="0.25">
      <c r="A1441" s="61"/>
      <c r="B1441" s="34"/>
      <c r="C1441" s="3" t="s">
        <v>13</v>
      </c>
      <c r="D1441" s="5">
        <v>2E-3</v>
      </c>
      <c r="E1441" s="35">
        <f>(E1457*D1441)</f>
        <v>9</v>
      </c>
      <c r="F1441" s="36">
        <v>330</v>
      </c>
      <c r="I1441" s="3" t="s">
        <v>3</v>
      </c>
      <c r="J1441" s="3" t="s">
        <v>358</v>
      </c>
      <c r="L1441" s="3" t="s">
        <v>5</v>
      </c>
      <c r="M1441" s="3" t="s">
        <v>7</v>
      </c>
      <c r="N1441" s="3" t="s">
        <v>313</v>
      </c>
      <c r="O1441" s="36" t="s">
        <v>359</v>
      </c>
    </row>
    <row r="1442" spans="1:15" x14ac:dyDescent="0.25">
      <c r="A1442" s="61"/>
      <c r="B1442" s="34" t="s">
        <v>327</v>
      </c>
      <c r="C1442" s="3" t="s">
        <v>20</v>
      </c>
      <c r="D1442" s="5">
        <v>5.0000000000000001E-4</v>
      </c>
      <c r="E1442" s="35">
        <f>(E1457*D1442)</f>
        <v>2.25</v>
      </c>
      <c r="F1442" s="36">
        <v>350</v>
      </c>
      <c r="I1442" s="60" t="s">
        <v>293</v>
      </c>
      <c r="J1442" s="34"/>
      <c r="K1442" s="3" t="s">
        <v>10</v>
      </c>
      <c r="L1442" s="5">
        <v>0.1396</v>
      </c>
      <c r="M1442" s="35">
        <f>(M$1461*L1442)</f>
        <v>139.6</v>
      </c>
      <c r="N1442" s="36">
        <v>200</v>
      </c>
      <c r="O1442" s="36"/>
    </row>
    <row r="1443" spans="1:15" x14ac:dyDescent="0.25">
      <c r="A1443" s="61"/>
      <c r="B1443" s="37"/>
      <c r="C1443" s="3" t="s">
        <v>51</v>
      </c>
      <c r="D1443" s="5">
        <v>1.4E-3</v>
      </c>
      <c r="E1443" s="35">
        <f>(E1457*D1443)</f>
        <v>6.3</v>
      </c>
      <c r="F1443" s="36">
        <v>450</v>
      </c>
      <c r="I1443" s="61"/>
      <c r="J1443" s="34"/>
      <c r="K1443" s="3" t="s">
        <v>232</v>
      </c>
      <c r="L1443" s="5">
        <v>2E-3</v>
      </c>
      <c r="M1443" s="35">
        <f t="shared" ref="M1443:M1460" si="51">(M$1461*L1443)</f>
        <v>2</v>
      </c>
      <c r="N1443" s="36">
        <v>200</v>
      </c>
      <c r="O1443" s="36"/>
    </row>
    <row r="1444" spans="1:15" x14ac:dyDescent="0.25">
      <c r="A1444" s="61"/>
      <c r="B1444" s="37" t="s">
        <v>315</v>
      </c>
      <c r="C1444" s="3" t="s">
        <v>20</v>
      </c>
      <c r="D1444" s="5">
        <v>5.0000000000000001E-4</v>
      </c>
      <c r="E1444" s="35">
        <f>(E1457*D1444)</f>
        <v>2.25</v>
      </c>
      <c r="F1444" s="36">
        <v>520</v>
      </c>
      <c r="I1444" s="61"/>
      <c r="J1444" s="34" t="s">
        <v>314</v>
      </c>
      <c r="K1444" s="3" t="s">
        <v>166</v>
      </c>
      <c r="L1444" s="5">
        <v>0.02</v>
      </c>
      <c r="M1444" s="35">
        <f t="shared" si="51"/>
        <v>20</v>
      </c>
      <c r="N1444" s="36">
        <v>200</v>
      </c>
      <c r="O1444" s="36"/>
    </row>
    <row r="1445" spans="1:15" x14ac:dyDescent="0.25">
      <c r="A1445" s="25" t="s">
        <v>324</v>
      </c>
      <c r="B1445" s="37" t="s">
        <v>316</v>
      </c>
      <c r="C1445" s="3" t="s">
        <v>296</v>
      </c>
      <c r="D1445" s="5">
        <v>4.0000000000000001E-3</v>
      </c>
      <c r="E1445" s="35">
        <f>(E1457*D1445)</f>
        <v>18</v>
      </c>
      <c r="F1445" s="36">
        <v>1000</v>
      </c>
      <c r="I1445" s="61"/>
      <c r="J1445" s="34" t="s">
        <v>315</v>
      </c>
      <c r="K1445" s="3" t="s">
        <v>13</v>
      </c>
      <c r="L1445" s="5">
        <v>2E-3</v>
      </c>
      <c r="M1445" s="35">
        <f t="shared" si="51"/>
        <v>2</v>
      </c>
      <c r="N1445" s="36">
        <v>330</v>
      </c>
      <c r="O1445" s="36"/>
    </row>
    <row r="1446" spans="1:15" x14ac:dyDescent="0.25">
      <c r="A1446" s="25"/>
      <c r="B1446" s="37"/>
      <c r="C1446" s="3" t="s">
        <v>20</v>
      </c>
      <c r="D1446" s="5">
        <v>5.0000000000000001E-4</v>
      </c>
      <c r="E1446" s="35">
        <f>(E1457*D1446)</f>
        <v>2.25</v>
      </c>
      <c r="F1446" s="36">
        <v>1000</v>
      </c>
      <c r="I1446" s="61"/>
      <c r="J1446" s="34" t="s">
        <v>314</v>
      </c>
      <c r="K1446" s="3" t="s">
        <v>20</v>
      </c>
      <c r="L1446" s="5">
        <v>5.0000000000000001E-4</v>
      </c>
      <c r="M1446" s="35">
        <f t="shared" si="51"/>
        <v>0.5</v>
      </c>
      <c r="N1446" s="36">
        <v>350</v>
      </c>
      <c r="O1446" s="36"/>
    </row>
    <row r="1447" spans="1:15" x14ac:dyDescent="0.25">
      <c r="A1447" s="16" t="s">
        <v>99</v>
      </c>
      <c r="B1447" s="37" t="s">
        <v>317</v>
      </c>
      <c r="C1447" s="3" t="s">
        <v>24</v>
      </c>
      <c r="D1447" s="5">
        <v>0.11600000000000001</v>
      </c>
      <c r="E1447" s="35">
        <f>(E1457*D1447)</f>
        <v>522</v>
      </c>
      <c r="F1447" s="36">
        <v>800</v>
      </c>
      <c r="I1447" s="61"/>
      <c r="J1447" s="37" t="s">
        <v>315</v>
      </c>
      <c r="K1447" s="3" t="s">
        <v>51</v>
      </c>
      <c r="L1447" s="5">
        <v>2.5999999999999999E-3</v>
      </c>
      <c r="M1447" s="35">
        <f t="shared" si="51"/>
        <v>2.6</v>
      </c>
      <c r="N1447" s="36">
        <v>400</v>
      </c>
      <c r="O1447" s="36"/>
    </row>
    <row r="1448" spans="1:15" x14ac:dyDescent="0.25">
      <c r="A1448" s="16" t="s">
        <v>100</v>
      </c>
      <c r="B1448" s="37" t="s">
        <v>317</v>
      </c>
      <c r="C1448" s="3" t="s">
        <v>28</v>
      </c>
      <c r="D1448" s="5">
        <v>9.64E-2</v>
      </c>
      <c r="E1448" s="35">
        <f>(E1457*D1448)</f>
        <v>433.8</v>
      </c>
      <c r="F1448" s="36">
        <v>850</v>
      </c>
      <c r="I1448" s="61"/>
      <c r="J1448" s="37"/>
      <c r="K1448" s="3" t="s">
        <v>20</v>
      </c>
      <c r="L1448" s="5">
        <v>5.0000000000000001E-4</v>
      </c>
      <c r="M1448" s="35">
        <f t="shared" si="51"/>
        <v>0.5</v>
      </c>
      <c r="N1448" s="36">
        <v>520</v>
      </c>
      <c r="O1448" s="36"/>
    </row>
    <row r="1449" spans="1:15" ht="27.6" x14ac:dyDescent="0.25">
      <c r="A1449" s="16" t="s">
        <v>288</v>
      </c>
      <c r="B1449" s="37" t="s">
        <v>317</v>
      </c>
      <c r="C1449" s="3" t="s">
        <v>30</v>
      </c>
      <c r="D1449" s="5">
        <v>9.64E-2</v>
      </c>
      <c r="E1449" s="35">
        <f>(E1457*D1449)</f>
        <v>433.8</v>
      </c>
      <c r="F1449" s="36">
        <v>900</v>
      </c>
      <c r="I1449" s="25" t="s">
        <v>324</v>
      </c>
      <c r="J1449" s="37" t="s">
        <v>316</v>
      </c>
      <c r="K1449" s="3" t="s">
        <v>296</v>
      </c>
      <c r="L1449" s="5">
        <v>4.4999999999999997E-3</v>
      </c>
      <c r="M1449" s="35">
        <f t="shared" si="51"/>
        <v>4.5</v>
      </c>
      <c r="N1449" s="36">
        <v>1000</v>
      </c>
      <c r="O1449" s="36"/>
    </row>
    <row r="1450" spans="1:15" x14ac:dyDescent="0.25">
      <c r="A1450" s="16" t="s">
        <v>282</v>
      </c>
      <c r="B1450" s="37" t="s">
        <v>360</v>
      </c>
      <c r="C1450" s="15" t="s">
        <v>70</v>
      </c>
      <c r="D1450" s="5">
        <v>5.0000000000000001E-3</v>
      </c>
      <c r="E1450" s="35">
        <f>(E1457*D1450)</f>
        <v>22.5</v>
      </c>
      <c r="F1450" s="36">
        <v>700</v>
      </c>
      <c r="I1450" s="25"/>
      <c r="J1450" s="37"/>
      <c r="K1450" s="3" t="s">
        <v>20</v>
      </c>
      <c r="L1450" s="5">
        <v>5.0000000000000001E-4</v>
      </c>
      <c r="M1450" s="35">
        <f t="shared" si="51"/>
        <v>0.5</v>
      </c>
      <c r="N1450" s="36">
        <v>1100</v>
      </c>
      <c r="O1450" s="36"/>
    </row>
    <row r="1451" spans="1:15" ht="27.6" x14ac:dyDescent="0.25">
      <c r="A1451" s="26" t="s">
        <v>103</v>
      </c>
      <c r="B1451" s="37" t="s">
        <v>361</v>
      </c>
      <c r="C1451" s="15" t="s">
        <v>124</v>
      </c>
      <c r="D1451" s="5">
        <v>0.24299999999999999</v>
      </c>
      <c r="E1451" s="35">
        <f>(E1457*D1451)</f>
        <v>1093.5</v>
      </c>
      <c r="F1451" s="36">
        <v>600</v>
      </c>
      <c r="I1451" s="16" t="s">
        <v>99</v>
      </c>
      <c r="J1451" s="37" t="s">
        <v>317</v>
      </c>
      <c r="K1451" s="3" t="s">
        <v>24</v>
      </c>
      <c r="L1451" s="5">
        <v>0.11600000000000001</v>
      </c>
      <c r="M1451" s="35">
        <f t="shared" si="51"/>
        <v>116</v>
      </c>
      <c r="N1451" s="36">
        <v>850</v>
      </c>
      <c r="O1451" s="36"/>
    </row>
    <row r="1452" spans="1:15" ht="55.2" x14ac:dyDescent="0.25">
      <c r="A1452" s="26" t="s">
        <v>283</v>
      </c>
      <c r="B1452" s="40" t="s">
        <v>362</v>
      </c>
      <c r="C1452" s="15" t="s">
        <v>153</v>
      </c>
      <c r="D1452" s="32">
        <v>8.5000000000000006E-2</v>
      </c>
      <c r="E1452" s="35">
        <f>(E1457*D1452)</f>
        <v>382.5</v>
      </c>
      <c r="F1452" s="36">
        <v>600</v>
      </c>
      <c r="I1452" s="16" t="s">
        <v>100</v>
      </c>
      <c r="J1452" s="37" t="s">
        <v>317</v>
      </c>
      <c r="K1452" s="3" t="s">
        <v>28</v>
      </c>
      <c r="L1452" s="5">
        <v>9.64E-2</v>
      </c>
      <c r="M1452" s="35">
        <f t="shared" si="51"/>
        <v>96.4</v>
      </c>
      <c r="N1452" s="36">
        <v>850</v>
      </c>
      <c r="O1452" s="36"/>
    </row>
    <row r="1453" spans="1:15" x14ac:dyDescent="0.25">
      <c r="A1453" s="26" t="s">
        <v>131</v>
      </c>
      <c r="B1453" s="37" t="s">
        <v>315</v>
      </c>
      <c r="C1453" s="15" t="s">
        <v>130</v>
      </c>
      <c r="D1453" s="5">
        <v>0.03</v>
      </c>
      <c r="E1453" s="35">
        <f>(E1457*D1453)</f>
        <v>135</v>
      </c>
      <c r="F1453" s="36" t="s">
        <v>350</v>
      </c>
      <c r="I1453" s="16" t="s">
        <v>288</v>
      </c>
      <c r="J1453" s="37" t="s">
        <v>317</v>
      </c>
      <c r="K1453" s="3" t="s">
        <v>30</v>
      </c>
      <c r="L1453" s="5">
        <v>9.64E-2</v>
      </c>
      <c r="M1453" s="35">
        <f t="shared" si="51"/>
        <v>96.4</v>
      </c>
      <c r="N1453" s="36">
        <v>900</v>
      </c>
      <c r="O1453" s="36"/>
    </row>
    <row r="1454" spans="1:15" x14ac:dyDescent="0.25">
      <c r="A1454" s="62" t="s">
        <v>133</v>
      </c>
      <c r="B1454" s="37"/>
      <c r="C1454" s="15" t="s">
        <v>153</v>
      </c>
      <c r="D1454" s="5">
        <v>0.1545</v>
      </c>
      <c r="E1454" s="35">
        <f>(E1457*D1454)</f>
        <v>695.25</v>
      </c>
      <c r="F1454" s="36" t="s">
        <v>351</v>
      </c>
      <c r="I1454" s="16" t="s">
        <v>282</v>
      </c>
      <c r="J1454" s="37"/>
      <c r="K1454" s="15" t="s">
        <v>70</v>
      </c>
      <c r="L1454" s="5">
        <v>5.0000000000000001E-3</v>
      </c>
      <c r="M1454" s="35">
        <f t="shared" si="51"/>
        <v>5</v>
      </c>
      <c r="N1454" s="36">
        <v>600</v>
      </c>
      <c r="O1454" s="36"/>
    </row>
    <row r="1455" spans="1:15" x14ac:dyDescent="0.25">
      <c r="A1455" s="66"/>
      <c r="B1455" s="37" t="s">
        <v>317</v>
      </c>
      <c r="C1455" s="15" t="s">
        <v>332</v>
      </c>
      <c r="D1455" s="5">
        <v>1.4E-3</v>
      </c>
      <c r="E1455" s="35">
        <f>(E1457*D1455)</f>
        <v>6.3</v>
      </c>
      <c r="F1455" s="36" t="s">
        <v>353</v>
      </c>
      <c r="I1455" s="60" t="s">
        <v>363</v>
      </c>
      <c r="J1455" s="37"/>
      <c r="K1455" s="15" t="s">
        <v>153</v>
      </c>
      <c r="L1455" s="5">
        <v>0.12</v>
      </c>
      <c r="M1455" s="35">
        <f t="shared" si="51"/>
        <v>120</v>
      </c>
      <c r="N1455" s="36">
        <v>600</v>
      </c>
      <c r="O1455" s="36"/>
    </row>
    <row r="1456" spans="1:15" x14ac:dyDescent="0.25">
      <c r="A1456" s="63"/>
      <c r="B1456" s="37" t="s">
        <v>365</v>
      </c>
      <c r="C1456" s="15" t="s">
        <v>20</v>
      </c>
      <c r="D1456" s="5">
        <v>1.5E-3</v>
      </c>
      <c r="E1456" s="35">
        <f>(E1457*D1456)</f>
        <v>6.75</v>
      </c>
      <c r="F1456" s="36" t="s">
        <v>366</v>
      </c>
      <c r="I1456" s="67"/>
      <c r="J1456" s="37" t="s">
        <v>317</v>
      </c>
      <c r="K1456" s="15" t="s">
        <v>124</v>
      </c>
      <c r="L1456" s="5">
        <v>0.24299999999999999</v>
      </c>
      <c r="M1456" s="35">
        <f t="shared" si="51"/>
        <v>243</v>
      </c>
      <c r="N1456" s="36">
        <v>600</v>
      </c>
      <c r="O1456" s="36"/>
    </row>
    <row r="1457" spans="1:15" x14ac:dyDescent="0.25">
      <c r="A1457" s="2"/>
      <c r="B1457" s="12"/>
      <c r="C1457" s="2"/>
      <c r="D1457" s="13">
        <f>SUM(D1438:D1456)</f>
        <v>0.99999999999999989</v>
      </c>
      <c r="E1457" s="19">
        <v>4500</v>
      </c>
      <c r="I1457" s="26" t="s">
        <v>283</v>
      </c>
      <c r="K1457" s="15" t="s">
        <v>153</v>
      </c>
      <c r="L1457" s="32">
        <v>0.03</v>
      </c>
      <c r="M1457" s="35">
        <f t="shared" si="51"/>
        <v>30</v>
      </c>
      <c r="N1457" s="36">
        <v>600</v>
      </c>
      <c r="O1457" s="36"/>
    </row>
    <row r="1458" spans="1:15" x14ac:dyDescent="0.25">
      <c r="C1458" s="33">
        <f>SUM(D1443+D1445+D1447+D1448+D1449+D1451+D1452*0.5+D1453+D1454*0.5)</f>
        <v>0.70694999999999997</v>
      </c>
      <c r="E1458" s="24">
        <f>SUM(E1438:E1456)</f>
        <v>4500</v>
      </c>
      <c r="I1458" s="26" t="s">
        <v>364</v>
      </c>
      <c r="J1458" s="37" t="s">
        <v>315</v>
      </c>
      <c r="K1458" s="15" t="s">
        <v>130</v>
      </c>
      <c r="L1458" s="5">
        <v>0.03</v>
      </c>
      <c r="M1458" s="35">
        <f t="shared" si="51"/>
        <v>30</v>
      </c>
      <c r="N1458" s="36">
        <v>600</v>
      </c>
      <c r="O1458" s="36"/>
    </row>
    <row r="1459" spans="1:15" x14ac:dyDescent="0.25">
      <c r="I1459" s="62" t="s">
        <v>367</v>
      </c>
      <c r="J1459" s="37"/>
      <c r="K1459" s="15" t="s">
        <v>153</v>
      </c>
      <c r="L1459" s="5">
        <v>8.9499999999999996E-2</v>
      </c>
      <c r="M1459" s="35">
        <f t="shared" si="51"/>
        <v>89.5</v>
      </c>
      <c r="N1459" s="36">
        <v>600</v>
      </c>
      <c r="O1459" s="36"/>
    </row>
    <row r="1460" spans="1:15" x14ac:dyDescent="0.25">
      <c r="I1460" s="63"/>
      <c r="J1460" s="37" t="s">
        <v>315</v>
      </c>
      <c r="K1460" s="15" t="s">
        <v>20</v>
      </c>
      <c r="L1460" s="5">
        <v>1.5E-3</v>
      </c>
      <c r="M1460" s="35">
        <f t="shared" si="51"/>
        <v>1.5</v>
      </c>
      <c r="N1460" s="36">
        <v>600</v>
      </c>
      <c r="O1460" s="36"/>
    </row>
    <row r="1461" spans="1:15" x14ac:dyDescent="0.25">
      <c r="I1461" s="2"/>
      <c r="J1461" s="12"/>
      <c r="K1461" s="2"/>
      <c r="L1461" s="13">
        <f>SUM(L1442:L1460)</f>
        <v>1</v>
      </c>
      <c r="M1461" s="19">
        <v>1000</v>
      </c>
    </row>
    <row r="1462" spans="1:15" x14ac:dyDescent="0.25">
      <c r="K1462" s="33">
        <f>SUM(L1447+L1449+L1451+L1452+L1453+L1455*0.5+L1456+L1457*0.5+L1458+L1459*0.5)</f>
        <v>0.70865</v>
      </c>
      <c r="M1462" s="24">
        <f>SUM(M1442:M1460)</f>
        <v>1000</v>
      </c>
    </row>
    <row r="1463" spans="1:15" x14ac:dyDescent="0.25">
      <c r="A1463" s="54" t="s">
        <v>368</v>
      </c>
      <c r="B1463" s="54"/>
      <c r="C1463" s="54"/>
      <c r="D1463" s="54"/>
      <c r="E1463" s="54"/>
    </row>
    <row r="1464" spans="1:15" x14ac:dyDescent="0.25">
      <c r="A1464" s="59" t="s">
        <v>357</v>
      </c>
      <c r="B1464" s="59"/>
      <c r="C1464" s="59"/>
      <c r="D1464" s="59"/>
      <c r="E1464" s="59"/>
    </row>
    <row r="1465" spans="1:15" x14ac:dyDescent="0.25">
      <c r="A1465" s="3" t="s">
        <v>3</v>
      </c>
      <c r="B1465" s="3" t="s">
        <v>358</v>
      </c>
      <c r="D1465" s="3" t="s">
        <v>5</v>
      </c>
      <c r="E1465" s="3" t="s">
        <v>7</v>
      </c>
      <c r="F1465" s="3" t="s">
        <v>313</v>
      </c>
      <c r="G1465" s="36" t="s">
        <v>359</v>
      </c>
    </row>
    <row r="1466" spans="1:15" x14ac:dyDescent="0.25">
      <c r="A1466" s="60" t="s">
        <v>293</v>
      </c>
      <c r="B1466" s="34"/>
      <c r="C1466" s="3" t="s">
        <v>10</v>
      </c>
      <c r="D1466" s="5">
        <v>0.1396</v>
      </c>
      <c r="E1466" s="35">
        <f>(E$1484*D1466)</f>
        <v>55.84</v>
      </c>
      <c r="F1466" s="36">
        <v>200</v>
      </c>
      <c r="G1466" s="36"/>
    </row>
    <row r="1467" spans="1:15" x14ac:dyDescent="0.25">
      <c r="A1467" s="61"/>
      <c r="B1467" s="34"/>
      <c r="C1467" s="3" t="s">
        <v>232</v>
      </c>
      <c r="D1467" s="5">
        <v>2E-3</v>
      </c>
      <c r="E1467" s="35">
        <f>(E$1484*D1467)</f>
        <v>0.8</v>
      </c>
      <c r="F1467" s="36">
        <v>200</v>
      </c>
      <c r="G1467" s="36"/>
    </row>
    <row r="1468" spans="1:15" x14ac:dyDescent="0.25">
      <c r="A1468" s="61"/>
      <c r="B1468" s="34" t="s">
        <v>314</v>
      </c>
      <c r="C1468" s="3" t="s">
        <v>166</v>
      </c>
      <c r="D1468" s="5">
        <v>0.02</v>
      </c>
      <c r="E1468" s="35">
        <f>(E$1484*D1468)</f>
        <v>8</v>
      </c>
      <c r="F1468" s="36">
        <v>200</v>
      </c>
      <c r="G1468" s="36"/>
    </row>
    <row r="1469" spans="1:15" x14ac:dyDescent="0.25">
      <c r="A1469" s="61"/>
      <c r="B1469" s="34" t="s">
        <v>315</v>
      </c>
      <c r="C1469" s="3" t="s">
        <v>13</v>
      </c>
      <c r="D1469" s="5">
        <v>2E-3</v>
      </c>
      <c r="E1469" s="35">
        <f>(E$1484*D1469)</f>
        <v>0.8</v>
      </c>
      <c r="F1469" s="36">
        <v>330</v>
      </c>
      <c r="G1469" s="36"/>
    </row>
    <row r="1470" spans="1:15" x14ac:dyDescent="0.25">
      <c r="A1470" s="61"/>
      <c r="B1470" s="34" t="s">
        <v>314</v>
      </c>
      <c r="C1470" s="3" t="s">
        <v>20</v>
      </c>
      <c r="D1470" s="5">
        <v>5.0000000000000001E-4</v>
      </c>
      <c r="E1470" s="35">
        <f>(E$1484*D1470)</f>
        <v>0.2</v>
      </c>
      <c r="F1470" s="36">
        <v>350</v>
      </c>
      <c r="G1470" s="36"/>
    </row>
    <row r="1471" spans="1:15" x14ac:dyDescent="0.25">
      <c r="A1471" s="61"/>
      <c r="B1471" s="37" t="s">
        <v>315</v>
      </c>
      <c r="C1471" s="3" t="s">
        <v>51</v>
      </c>
      <c r="D1471" s="5">
        <v>2.5999999999999999E-3</v>
      </c>
      <c r="E1471" s="35">
        <f>(E$1484*D1471)</f>
        <v>1.04</v>
      </c>
      <c r="F1471" s="36">
        <v>400</v>
      </c>
      <c r="G1471" s="36"/>
    </row>
    <row r="1472" spans="1:15" x14ac:dyDescent="0.25">
      <c r="A1472" s="61"/>
      <c r="B1472" s="37"/>
      <c r="C1472" s="3" t="s">
        <v>20</v>
      </c>
      <c r="D1472" s="5">
        <v>5.0000000000000001E-4</v>
      </c>
      <c r="E1472" s="35">
        <f>(E$1484*D1472)</f>
        <v>0.2</v>
      </c>
      <c r="F1472" s="36">
        <v>520</v>
      </c>
      <c r="G1472" s="36"/>
    </row>
    <row r="1473" spans="1:7" x14ac:dyDescent="0.25">
      <c r="A1473" s="25" t="s">
        <v>324</v>
      </c>
      <c r="B1473" s="37" t="s">
        <v>316</v>
      </c>
      <c r="C1473" s="3" t="s">
        <v>296</v>
      </c>
      <c r="D1473" s="5">
        <v>4.4999999999999997E-3</v>
      </c>
      <c r="E1473" s="35">
        <f>(E$1484*D1473)</f>
        <v>1.7999999999999998</v>
      </c>
      <c r="F1473" s="36">
        <v>1000</v>
      </c>
      <c r="G1473" s="36"/>
    </row>
    <row r="1474" spans="1:7" x14ac:dyDescent="0.25">
      <c r="A1474" s="25"/>
      <c r="B1474" s="37"/>
      <c r="C1474" s="3" t="s">
        <v>20</v>
      </c>
      <c r="D1474" s="5">
        <v>5.0000000000000001E-4</v>
      </c>
      <c r="E1474" s="35">
        <f>(E$1484*D1474)</f>
        <v>0.2</v>
      </c>
      <c r="F1474" s="36">
        <v>1100</v>
      </c>
      <c r="G1474" s="36"/>
    </row>
    <row r="1475" spans="1:7" x14ac:dyDescent="0.25">
      <c r="A1475" s="16" t="s">
        <v>99</v>
      </c>
      <c r="B1475" s="37" t="s">
        <v>317</v>
      </c>
      <c r="C1475" s="3" t="s">
        <v>24</v>
      </c>
      <c r="D1475" s="5">
        <v>0.11600000000000001</v>
      </c>
      <c r="E1475" s="35">
        <f>(E$1484*D1475)</f>
        <v>46.400000000000006</v>
      </c>
      <c r="F1475" s="36">
        <v>850</v>
      </c>
      <c r="G1475" s="36"/>
    </row>
    <row r="1476" spans="1:7" x14ac:dyDescent="0.25">
      <c r="A1476" s="16" t="s">
        <v>100</v>
      </c>
      <c r="B1476" s="37" t="s">
        <v>317</v>
      </c>
      <c r="C1476" s="3" t="s">
        <v>28</v>
      </c>
      <c r="D1476" s="5">
        <v>9.64E-2</v>
      </c>
      <c r="E1476" s="35">
        <f>(E$1484*D1476)</f>
        <v>38.56</v>
      </c>
      <c r="F1476" s="36">
        <v>850</v>
      </c>
      <c r="G1476" s="36"/>
    </row>
    <row r="1477" spans="1:7" x14ac:dyDescent="0.25">
      <c r="A1477" s="16" t="s">
        <v>288</v>
      </c>
      <c r="B1477" s="37" t="s">
        <v>317</v>
      </c>
      <c r="C1477" s="3" t="s">
        <v>30</v>
      </c>
      <c r="D1477" s="5">
        <v>9.64E-2</v>
      </c>
      <c r="E1477" s="35">
        <f>(E$1484*D1477)</f>
        <v>38.56</v>
      </c>
      <c r="F1477" s="36">
        <v>900</v>
      </c>
      <c r="G1477" s="36"/>
    </row>
    <row r="1478" spans="1:7" x14ac:dyDescent="0.25">
      <c r="A1478" s="16" t="s">
        <v>282</v>
      </c>
      <c r="B1478" s="37"/>
      <c r="C1478" s="15" t="s">
        <v>70</v>
      </c>
      <c r="D1478" s="5">
        <v>5.0000000000000001E-3</v>
      </c>
      <c r="E1478" s="35">
        <f>(E$1484*D1478)</f>
        <v>2</v>
      </c>
      <c r="F1478" s="36">
        <v>600</v>
      </c>
      <c r="G1478" s="36"/>
    </row>
    <row r="1479" spans="1:7" x14ac:dyDescent="0.25">
      <c r="A1479" s="60" t="s">
        <v>363</v>
      </c>
      <c r="B1479" s="37"/>
      <c r="C1479" s="15" t="s">
        <v>153</v>
      </c>
      <c r="D1479" s="5">
        <v>0.12</v>
      </c>
      <c r="E1479" s="35">
        <f>(E$1484*D1479)</f>
        <v>48</v>
      </c>
      <c r="F1479" s="36">
        <v>600</v>
      </c>
      <c r="G1479" s="36"/>
    </row>
    <row r="1480" spans="1:7" x14ac:dyDescent="0.25">
      <c r="A1480" s="67"/>
      <c r="B1480" s="37" t="s">
        <v>317</v>
      </c>
      <c r="C1480" s="15" t="s">
        <v>124</v>
      </c>
      <c r="D1480" s="5">
        <v>0.24299999999999999</v>
      </c>
      <c r="E1480" s="35">
        <f>(E$1484*D1480)</f>
        <v>97.2</v>
      </c>
      <c r="F1480" s="36">
        <v>300</v>
      </c>
      <c r="G1480" s="36"/>
    </row>
    <row r="1481" spans="1:7" x14ac:dyDescent="0.25">
      <c r="A1481" s="26" t="s">
        <v>283</v>
      </c>
      <c r="C1481" s="15" t="s">
        <v>153</v>
      </c>
      <c r="D1481" s="32">
        <v>0.1195</v>
      </c>
      <c r="E1481" s="35">
        <f>(E$1484*D1481)</f>
        <v>47.8</v>
      </c>
      <c r="F1481" s="36">
        <v>300</v>
      </c>
      <c r="G1481" s="36"/>
    </row>
    <row r="1482" spans="1:7" x14ac:dyDescent="0.25">
      <c r="A1482" s="26" t="s">
        <v>364</v>
      </c>
      <c r="B1482" s="37" t="s">
        <v>315</v>
      </c>
      <c r="C1482" s="15" t="s">
        <v>130</v>
      </c>
      <c r="D1482" s="5">
        <v>0.03</v>
      </c>
      <c r="E1482" s="35">
        <f>(E$1484*D1482)</f>
        <v>12</v>
      </c>
      <c r="F1482" s="36">
        <v>300</v>
      </c>
      <c r="G1482" s="36"/>
    </row>
    <row r="1483" spans="1:7" x14ac:dyDescent="0.25">
      <c r="A1483" s="29"/>
      <c r="B1483" s="37" t="s">
        <v>315</v>
      </c>
      <c r="C1483" s="15" t="s">
        <v>20</v>
      </c>
      <c r="D1483" s="5">
        <v>1.5E-3</v>
      </c>
      <c r="E1483" s="35">
        <f>(E$1484*D1483)</f>
        <v>0.6</v>
      </c>
      <c r="F1483" s="36">
        <v>300</v>
      </c>
      <c r="G1483" s="36"/>
    </row>
    <row r="1484" spans="1:7" x14ac:dyDescent="0.25">
      <c r="A1484" s="2"/>
      <c r="B1484" s="12"/>
      <c r="C1484" s="2"/>
      <c r="D1484" s="13">
        <f>SUM(D1466:D1483)</f>
        <v>0.99999999999999989</v>
      </c>
      <c r="E1484" s="19">
        <v>400</v>
      </c>
    </row>
    <row r="1485" spans="1:7" x14ac:dyDescent="0.25">
      <c r="C1485" s="33">
        <f>SUM(D1471+D1473+D1475+D1476+D1477+D1479*0.5+D1480+D1481*0.5+D1482)</f>
        <v>0.70865</v>
      </c>
      <c r="E1485" s="24">
        <f>SUM(E1466:E1483)</f>
        <v>400.00000000000006</v>
      </c>
    </row>
    <row r="1491" spans="1:13" x14ac:dyDescent="0.25">
      <c r="A1491" s="54" t="s">
        <v>369</v>
      </c>
      <c r="B1491" s="54"/>
      <c r="C1491" s="54"/>
      <c r="D1491" s="54"/>
      <c r="E1491" s="54"/>
      <c r="I1491" s="54" t="s">
        <v>370</v>
      </c>
      <c r="J1491" s="54"/>
      <c r="K1491" s="54"/>
      <c r="L1491" s="54"/>
      <c r="M1491" s="54"/>
    </row>
    <row r="1492" spans="1:13" x14ac:dyDescent="0.25">
      <c r="A1492" s="59" t="s">
        <v>291</v>
      </c>
      <c r="B1492" s="59"/>
      <c r="C1492" s="59"/>
      <c r="D1492" s="59"/>
      <c r="E1492" s="59"/>
      <c r="I1492" s="52" t="s">
        <v>292</v>
      </c>
      <c r="J1492" s="52"/>
      <c r="K1492" s="52"/>
      <c r="L1492" s="52"/>
      <c r="M1492" s="52"/>
    </row>
    <row r="1493" spans="1:13" x14ac:dyDescent="0.25">
      <c r="A1493" s="3" t="s">
        <v>3</v>
      </c>
      <c r="B1493" s="3" t="s">
        <v>97</v>
      </c>
      <c r="D1493" s="3" t="s">
        <v>5</v>
      </c>
      <c r="E1493" s="3" t="s">
        <v>7</v>
      </c>
      <c r="I1493" s="3" t="s">
        <v>3</v>
      </c>
      <c r="J1493" s="3" t="s">
        <v>97</v>
      </c>
      <c r="L1493" s="3" t="s">
        <v>5</v>
      </c>
      <c r="M1493" s="3" t="s">
        <v>7</v>
      </c>
    </row>
    <row r="1494" spans="1:13" ht="13.2" customHeight="1" x14ac:dyDescent="0.25">
      <c r="A1494" s="132" t="s">
        <v>293</v>
      </c>
      <c r="B1494" s="4"/>
      <c r="C1494" s="3" t="s">
        <v>10</v>
      </c>
      <c r="D1494" s="5">
        <v>0.12889999999999999</v>
      </c>
      <c r="E1494" s="6">
        <f>(E1511*D1494)</f>
        <v>128.89999999999998</v>
      </c>
      <c r="I1494" s="132" t="s">
        <v>294</v>
      </c>
      <c r="J1494" s="4"/>
      <c r="K1494" s="3" t="s">
        <v>10</v>
      </c>
      <c r="L1494" s="5">
        <v>0.12889999999999999</v>
      </c>
      <c r="M1494" s="6">
        <f>(M1511*L1494)</f>
        <v>128.89999999999998</v>
      </c>
    </row>
    <row r="1495" spans="1:13" x14ac:dyDescent="0.25">
      <c r="A1495" s="132"/>
      <c r="B1495" s="4"/>
      <c r="C1495" s="3" t="s">
        <v>232</v>
      </c>
      <c r="D1495" s="5">
        <v>2E-3</v>
      </c>
      <c r="E1495" s="6">
        <f>(E1511*D1495)</f>
        <v>2</v>
      </c>
      <c r="I1495" s="132"/>
      <c r="J1495" s="4"/>
      <c r="K1495" s="3" t="s">
        <v>232</v>
      </c>
      <c r="L1495" s="5">
        <v>2E-3</v>
      </c>
      <c r="M1495" s="6">
        <f>(M1511*L1495)</f>
        <v>2</v>
      </c>
    </row>
    <row r="1496" spans="1:13" x14ac:dyDescent="0.25">
      <c r="A1496" s="132"/>
      <c r="B1496" s="4"/>
      <c r="C1496" s="3" t="s">
        <v>166</v>
      </c>
      <c r="D1496" s="5">
        <v>0.03</v>
      </c>
      <c r="E1496" s="6">
        <f>(E1511*D1496)</f>
        <v>30</v>
      </c>
      <c r="I1496" s="132"/>
      <c r="J1496" s="4"/>
      <c r="K1496" s="3" t="s">
        <v>166</v>
      </c>
      <c r="L1496" s="5">
        <v>0.03</v>
      </c>
      <c r="M1496" s="6">
        <f>(M1511*L1496)</f>
        <v>30</v>
      </c>
    </row>
    <row r="1497" spans="1:13" x14ac:dyDescent="0.25">
      <c r="A1497" s="132"/>
      <c r="B1497" s="4"/>
      <c r="C1497" s="3" t="s">
        <v>13</v>
      </c>
      <c r="D1497" s="5">
        <v>2E-3</v>
      </c>
      <c r="E1497" s="6">
        <f>(E1511*D1497)</f>
        <v>2</v>
      </c>
      <c r="I1497" s="132"/>
      <c r="J1497" s="4"/>
      <c r="K1497" s="3" t="s">
        <v>13</v>
      </c>
      <c r="L1497" s="5">
        <v>2E-3</v>
      </c>
      <c r="M1497" s="6">
        <f>(M1511*L1497)</f>
        <v>2</v>
      </c>
    </row>
    <row r="1498" spans="1:13" ht="13.8" customHeight="1" x14ac:dyDescent="0.25">
      <c r="A1498" s="132"/>
      <c r="B1498" s="4"/>
      <c r="C1498" s="3" t="s">
        <v>20</v>
      </c>
      <c r="D1498" s="5">
        <v>5.0000000000000001E-4</v>
      </c>
      <c r="E1498" s="6">
        <f>(E1511*D1498)</f>
        <v>0.5</v>
      </c>
      <c r="I1498" s="132"/>
      <c r="J1498" s="4"/>
      <c r="K1498" s="3" t="s">
        <v>20</v>
      </c>
      <c r="L1498" s="5">
        <v>5.0000000000000001E-4</v>
      </c>
      <c r="M1498" s="6">
        <f>(M1511*L1498)</f>
        <v>0.5</v>
      </c>
    </row>
    <row r="1499" spans="1:13" x14ac:dyDescent="0.25">
      <c r="A1499" s="132"/>
      <c r="B1499" s="9"/>
      <c r="C1499" s="3" t="s">
        <v>51</v>
      </c>
      <c r="D1499" s="5">
        <v>2.5000000000000001E-3</v>
      </c>
      <c r="E1499" s="6">
        <f>(E1511*D1499)</f>
        <v>2.5</v>
      </c>
      <c r="I1499" s="132"/>
      <c r="J1499" s="9"/>
      <c r="K1499" s="3" t="s">
        <v>267</v>
      </c>
      <c r="L1499" s="5">
        <v>2.5000000000000001E-3</v>
      </c>
      <c r="M1499" s="6">
        <f>(M1511*L1499)</f>
        <v>2.5</v>
      </c>
    </row>
    <row r="1500" spans="1:13" x14ac:dyDescent="0.25">
      <c r="A1500" s="132"/>
      <c r="B1500" s="9"/>
      <c r="C1500" s="3" t="s">
        <v>20</v>
      </c>
      <c r="D1500" s="5">
        <v>1E-3</v>
      </c>
      <c r="E1500" s="6">
        <f>(E1511*D1500)</f>
        <v>1</v>
      </c>
      <c r="I1500" s="132"/>
      <c r="J1500" s="9"/>
      <c r="K1500" s="3" t="s">
        <v>20</v>
      </c>
      <c r="L1500" s="5">
        <v>1E-3</v>
      </c>
      <c r="M1500" s="6">
        <f>(M1511*L1500)</f>
        <v>1</v>
      </c>
    </row>
    <row r="1501" spans="1:13" x14ac:dyDescent="0.25">
      <c r="A1501" s="25" t="s">
        <v>295</v>
      </c>
      <c r="B1501" s="9"/>
      <c r="C1501" s="3" t="s">
        <v>296</v>
      </c>
      <c r="D1501" s="5">
        <v>1E-3</v>
      </c>
      <c r="E1501" s="6">
        <f>(E1511*D1501)</f>
        <v>1</v>
      </c>
      <c r="I1501" s="25" t="s">
        <v>295</v>
      </c>
      <c r="J1501" s="9"/>
      <c r="K1501" s="3" t="s">
        <v>296</v>
      </c>
      <c r="L1501" s="5">
        <v>1E-3</v>
      </c>
      <c r="M1501" s="6">
        <f>(M1511*L1501)</f>
        <v>1</v>
      </c>
    </row>
    <row r="1502" spans="1:13" x14ac:dyDescent="0.25">
      <c r="A1502" s="16" t="s">
        <v>99</v>
      </c>
      <c r="B1502" s="9"/>
      <c r="C1502" s="3" t="s">
        <v>24</v>
      </c>
      <c r="D1502" s="5">
        <v>0.11700000000000001</v>
      </c>
      <c r="E1502" s="6">
        <f>(E1511*D1502)</f>
        <v>117</v>
      </c>
      <c r="I1502" s="16" t="s">
        <v>297</v>
      </c>
      <c r="J1502" s="9"/>
      <c r="K1502" s="3" t="s">
        <v>24</v>
      </c>
      <c r="L1502" s="5">
        <v>0.11700000000000001</v>
      </c>
      <c r="M1502" s="6">
        <f>(M1511*L1502)</f>
        <v>117</v>
      </c>
    </row>
    <row r="1503" spans="1:13" x14ac:dyDescent="0.25">
      <c r="A1503" s="16" t="s">
        <v>100</v>
      </c>
      <c r="B1503" s="9"/>
      <c r="C1503" s="3" t="s">
        <v>28</v>
      </c>
      <c r="D1503" s="5">
        <v>9.7299999999999998E-2</v>
      </c>
      <c r="E1503" s="6">
        <f>(E1511*D1503)</f>
        <v>97.3</v>
      </c>
      <c r="I1503" s="16" t="s">
        <v>298</v>
      </c>
      <c r="J1503" s="9"/>
      <c r="K1503" s="3" t="s">
        <v>28</v>
      </c>
      <c r="L1503" s="5">
        <v>9.7299999999999998E-2</v>
      </c>
      <c r="M1503" s="6">
        <f>(M1511*L1503)</f>
        <v>97.3</v>
      </c>
    </row>
    <row r="1504" spans="1:13" x14ac:dyDescent="0.25">
      <c r="A1504" s="16" t="s">
        <v>288</v>
      </c>
      <c r="B1504" s="9"/>
      <c r="C1504" s="3" t="s">
        <v>30</v>
      </c>
      <c r="D1504" s="5">
        <v>9.7299999999999998E-2</v>
      </c>
      <c r="E1504" s="6">
        <f>(E1511*D1504)</f>
        <v>97.3</v>
      </c>
      <c r="I1504" s="16" t="s">
        <v>299</v>
      </c>
      <c r="J1504" s="9"/>
      <c r="K1504" s="3" t="s">
        <v>30</v>
      </c>
      <c r="L1504" s="5">
        <v>9.7299999999999998E-2</v>
      </c>
      <c r="M1504" s="6">
        <f>(M1511*L1504)</f>
        <v>97.3</v>
      </c>
    </row>
    <row r="1505" spans="1:13" x14ac:dyDescent="0.25">
      <c r="A1505" s="16" t="s">
        <v>282</v>
      </c>
      <c r="B1505" s="9"/>
      <c r="C1505" s="15" t="s">
        <v>70</v>
      </c>
      <c r="D1505" s="5">
        <v>5.0000000000000001E-3</v>
      </c>
      <c r="E1505" s="6">
        <f>(E1511*D1505)</f>
        <v>5</v>
      </c>
      <c r="I1505" s="16" t="s">
        <v>300</v>
      </c>
      <c r="J1505" s="9"/>
      <c r="K1505" s="15" t="s">
        <v>70</v>
      </c>
      <c r="L1505" s="5">
        <v>5.0000000000000001E-3</v>
      </c>
      <c r="M1505" s="6">
        <f>(M1511*L1505)</f>
        <v>5</v>
      </c>
    </row>
    <row r="1506" spans="1:13" ht="27.6" x14ac:dyDescent="0.25">
      <c r="A1506" s="26" t="s">
        <v>103</v>
      </c>
      <c r="B1506" s="9"/>
      <c r="C1506" s="15" t="s">
        <v>124</v>
      </c>
      <c r="D1506" s="5">
        <v>0.24399999999999999</v>
      </c>
      <c r="E1506" s="6">
        <f>(E1511*D1506)</f>
        <v>244</v>
      </c>
      <c r="I1506" s="26" t="s">
        <v>301</v>
      </c>
      <c r="J1506" s="9"/>
      <c r="K1506" s="15" t="s">
        <v>124</v>
      </c>
      <c r="L1506" s="5">
        <v>0.24399999999999999</v>
      </c>
      <c r="M1506" s="6">
        <f>(M1511*L1506)</f>
        <v>244</v>
      </c>
    </row>
    <row r="1507" spans="1:13" x14ac:dyDescent="0.25">
      <c r="A1507" s="26" t="s">
        <v>283</v>
      </c>
      <c r="B1507" s="9"/>
      <c r="C1507" s="15" t="s">
        <v>153</v>
      </c>
      <c r="D1507" s="32">
        <v>8.5000000000000006E-2</v>
      </c>
      <c r="E1507" s="6">
        <f>(E1511*D1507)</f>
        <v>85</v>
      </c>
      <c r="I1507" s="26" t="s">
        <v>302</v>
      </c>
      <c r="J1507" s="9"/>
      <c r="K1507" s="15" t="s">
        <v>153</v>
      </c>
      <c r="L1507" s="32">
        <v>8.5000000000000006E-2</v>
      </c>
      <c r="M1507" s="6">
        <f>(M1511*L1507)</f>
        <v>85</v>
      </c>
    </row>
    <row r="1508" spans="1:13" x14ac:dyDescent="0.25">
      <c r="A1508" s="26" t="s">
        <v>131</v>
      </c>
      <c r="B1508" s="9"/>
      <c r="C1508" s="15" t="s">
        <v>130</v>
      </c>
      <c r="D1508" s="5">
        <v>0.03</v>
      </c>
      <c r="E1508" s="6">
        <f>(E1511*D1508)</f>
        <v>30</v>
      </c>
      <c r="I1508" s="26" t="s">
        <v>303</v>
      </c>
      <c r="J1508" s="9"/>
      <c r="K1508" s="15" t="s">
        <v>130</v>
      </c>
      <c r="L1508" s="5">
        <v>0.03</v>
      </c>
      <c r="M1508" s="6">
        <f>(M1511*L1508)</f>
        <v>30</v>
      </c>
    </row>
    <row r="1509" spans="1:13" x14ac:dyDescent="0.25">
      <c r="A1509" s="62" t="s">
        <v>133</v>
      </c>
      <c r="B1509" s="9"/>
      <c r="C1509" s="15" t="s">
        <v>153</v>
      </c>
      <c r="D1509" s="5">
        <v>0.155</v>
      </c>
      <c r="E1509" s="6">
        <f>(E1511*D1509)</f>
        <v>155</v>
      </c>
      <c r="I1509" s="62" t="s">
        <v>304</v>
      </c>
      <c r="J1509" s="9"/>
      <c r="K1509" s="15" t="s">
        <v>153</v>
      </c>
      <c r="L1509" s="5">
        <v>0.155</v>
      </c>
      <c r="M1509" s="6">
        <f>(M1511*L1509)</f>
        <v>155</v>
      </c>
    </row>
    <row r="1510" spans="1:13" x14ac:dyDescent="0.25">
      <c r="A1510" s="63"/>
      <c r="B1510" s="9"/>
      <c r="C1510" s="15" t="s">
        <v>20</v>
      </c>
      <c r="D1510" s="5">
        <v>1.5E-3</v>
      </c>
      <c r="E1510" s="6">
        <f>(E1511*D1510)</f>
        <v>1.5</v>
      </c>
      <c r="I1510" s="63"/>
      <c r="J1510" s="9"/>
      <c r="K1510" s="15" t="s">
        <v>20</v>
      </c>
      <c r="L1510" s="5">
        <v>1.5E-3</v>
      </c>
      <c r="M1510" s="6">
        <f>(M1511*L1510)</f>
        <v>1.5</v>
      </c>
    </row>
    <row r="1511" spans="1:13" x14ac:dyDescent="0.25">
      <c r="A1511" s="2"/>
      <c r="B1511" s="12"/>
      <c r="C1511" s="2"/>
      <c r="D1511" s="23">
        <f>SUM(D1494:D1510)</f>
        <v>0.99999999999999989</v>
      </c>
      <c r="E1511" s="19">
        <v>1000</v>
      </c>
      <c r="I1511" s="2"/>
      <c r="J1511" s="12"/>
      <c r="K1511" s="2"/>
      <c r="L1511" s="23">
        <f>SUM(L1494:L1510)</f>
        <v>0.99999999999999989</v>
      </c>
      <c r="M1511" s="19">
        <v>1000</v>
      </c>
    </row>
    <row r="1512" spans="1:13" x14ac:dyDescent="0.25">
      <c r="C1512" s="33">
        <f>SUM(D1499+D1501+D1502+D1503+D1504+D1506+D1507*0.5+D1508+D1509*0.5)</f>
        <v>0.70909999999999995</v>
      </c>
      <c r="E1512" s="24">
        <f>SUM(E1494:E1510)</f>
        <v>1000</v>
      </c>
      <c r="M1512" s="24">
        <f>SUM(M1494:M1510)</f>
        <v>1000</v>
      </c>
    </row>
    <row r="1517" spans="1:13" x14ac:dyDescent="0.25">
      <c r="A1517" s="54" t="s">
        <v>371</v>
      </c>
      <c r="B1517" s="54"/>
      <c r="C1517" s="54"/>
      <c r="D1517" s="54"/>
      <c r="E1517" s="54"/>
      <c r="I1517" s="54" t="s">
        <v>372</v>
      </c>
      <c r="J1517" s="54"/>
      <c r="K1517" s="54"/>
      <c r="L1517" s="54"/>
      <c r="M1517" s="54"/>
    </row>
    <row r="1518" spans="1:13" x14ac:dyDescent="0.25">
      <c r="A1518" s="59" t="s">
        <v>307</v>
      </c>
      <c r="B1518" s="59"/>
      <c r="C1518" s="59"/>
      <c r="D1518" s="59"/>
      <c r="E1518" s="59"/>
      <c r="I1518" s="52" t="s">
        <v>308</v>
      </c>
      <c r="J1518" s="52"/>
      <c r="K1518" s="52"/>
      <c r="L1518" s="52"/>
      <c r="M1518" s="52"/>
    </row>
    <row r="1519" spans="1:13" x14ac:dyDescent="0.25">
      <c r="A1519" s="3" t="s">
        <v>3</v>
      </c>
      <c r="B1519" s="3" t="s">
        <v>97</v>
      </c>
      <c r="D1519" s="3" t="s">
        <v>5</v>
      </c>
      <c r="E1519" s="3" t="s">
        <v>7</v>
      </c>
      <c r="I1519" s="3" t="s">
        <v>3</v>
      </c>
      <c r="J1519" s="3" t="s">
        <v>97</v>
      </c>
      <c r="L1519" s="3" t="s">
        <v>5</v>
      </c>
      <c r="M1519" s="3" t="s">
        <v>7</v>
      </c>
    </row>
    <row r="1520" spans="1:13" ht="17.399999999999999" customHeight="1" x14ac:dyDescent="0.25">
      <c r="A1520" s="60" t="s">
        <v>293</v>
      </c>
      <c r="B1520" s="4"/>
      <c r="C1520" s="3" t="s">
        <v>10</v>
      </c>
      <c r="D1520" s="5">
        <v>0.12909999999999999</v>
      </c>
      <c r="E1520" s="6">
        <f>(E$1537*D1520)</f>
        <v>129.1</v>
      </c>
      <c r="I1520" s="60" t="s">
        <v>293</v>
      </c>
      <c r="J1520" s="4"/>
      <c r="K1520" s="3" t="s">
        <v>10</v>
      </c>
      <c r="L1520" s="5">
        <v>0.12959999999999999</v>
      </c>
      <c r="M1520" s="6">
        <f>(M1537*L1520)</f>
        <v>129.6</v>
      </c>
    </row>
    <row r="1521" spans="1:13" x14ac:dyDescent="0.25">
      <c r="A1521" s="61"/>
      <c r="B1521" s="4"/>
      <c r="C1521" s="3" t="s">
        <v>232</v>
      </c>
      <c r="D1521" s="5">
        <v>2E-3</v>
      </c>
      <c r="E1521" s="6">
        <f>(E$1537*D1521)</f>
        <v>2</v>
      </c>
      <c r="I1521" s="61"/>
      <c r="J1521" s="4"/>
      <c r="K1521" s="3" t="s">
        <v>232</v>
      </c>
      <c r="L1521" s="5">
        <v>2E-3</v>
      </c>
      <c r="M1521" s="6">
        <f>(M1537*L1521)</f>
        <v>2</v>
      </c>
    </row>
    <row r="1522" spans="1:13" x14ac:dyDescent="0.25">
      <c r="A1522" s="61"/>
      <c r="B1522" s="4"/>
      <c r="C1522" s="3" t="s">
        <v>166</v>
      </c>
      <c r="D1522" s="5">
        <v>0.03</v>
      </c>
      <c r="E1522" s="6">
        <f>(E$1537*D1522)</f>
        <v>30</v>
      </c>
      <c r="I1522" s="61"/>
      <c r="J1522" s="4"/>
      <c r="K1522" s="3" t="s">
        <v>166</v>
      </c>
      <c r="L1522" s="5">
        <v>0.03</v>
      </c>
      <c r="M1522" s="6">
        <f>(M1537*L1522)</f>
        <v>30</v>
      </c>
    </row>
    <row r="1523" spans="1:13" ht="13.8" customHeight="1" x14ac:dyDescent="0.25">
      <c r="A1523" s="61"/>
      <c r="B1523" s="4"/>
      <c r="C1523" s="3" t="s">
        <v>13</v>
      </c>
      <c r="D1523" s="5">
        <v>2.0999999999999999E-3</v>
      </c>
      <c r="E1523" s="6">
        <f>(E$1537*D1523)</f>
        <v>2.1</v>
      </c>
      <c r="I1523" s="61"/>
      <c r="J1523" s="4"/>
      <c r="K1523" s="3" t="s">
        <v>13</v>
      </c>
      <c r="L1523" s="5">
        <v>2E-3</v>
      </c>
      <c r="M1523" s="6">
        <f>(M1537*L1523)</f>
        <v>2</v>
      </c>
    </row>
    <row r="1524" spans="1:13" x14ac:dyDescent="0.25">
      <c r="A1524" s="61"/>
      <c r="B1524" s="4"/>
      <c r="C1524" s="3" t="s">
        <v>20</v>
      </c>
      <c r="D1524" s="5">
        <v>5.0000000000000001E-4</v>
      </c>
      <c r="E1524" s="6">
        <f>(E$1537*D1524)</f>
        <v>0.5</v>
      </c>
      <c r="I1524" s="61"/>
      <c r="J1524" s="4"/>
      <c r="K1524" s="3" t="s">
        <v>20</v>
      </c>
      <c r="L1524" s="5">
        <v>5.0000000000000001E-4</v>
      </c>
      <c r="M1524" s="6">
        <f>(M1537*L1524)</f>
        <v>0.5</v>
      </c>
    </row>
    <row r="1525" spans="1:13" x14ac:dyDescent="0.25">
      <c r="A1525" s="61"/>
      <c r="B1525" s="9"/>
      <c r="C1525" s="3" t="s">
        <v>51</v>
      </c>
      <c r="D1525" s="5">
        <v>2.3E-3</v>
      </c>
      <c r="E1525" s="6">
        <f>(E$1537*D1525)</f>
        <v>2.2999999999999998</v>
      </c>
      <c r="I1525" s="61"/>
      <c r="J1525" s="9"/>
      <c r="K1525" s="3" t="s">
        <v>51</v>
      </c>
      <c r="L1525" s="5">
        <v>2.5000000000000001E-3</v>
      </c>
      <c r="M1525" s="6">
        <f>(M1537*L1525)</f>
        <v>2.5</v>
      </c>
    </row>
    <row r="1526" spans="1:13" x14ac:dyDescent="0.25">
      <c r="A1526" s="61"/>
      <c r="B1526" s="9"/>
      <c r="C1526" s="3" t="s">
        <v>20</v>
      </c>
      <c r="D1526" s="5">
        <v>1E-3</v>
      </c>
      <c r="E1526" s="6">
        <f>(E$1537*D1526)</f>
        <v>1</v>
      </c>
      <c r="I1526" s="61"/>
      <c r="J1526" s="9"/>
      <c r="K1526" s="3" t="s">
        <v>20</v>
      </c>
      <c r="L1526" s="5">
        <v>1E-3</v>
      </c>
      <c r="M1526" s="6">
        <f>(M1537*L1526)</f>
        <v>1</v>
      </c>
    </row>
    <row r="1527" spans="1:13" x14ac:dyDescent="0.25">
      <c r="A1527" s="25" t="s">
        <v>295</v>
      </c>
      <c r="B1527" s="9"/>
      <c r="C1527" s="3" t="s">
        <v>296</v>
      </c>
      <c r="D1527" s="5">
        <v>1.5E-3</v>
      </c>
      <c r="E1527" s="6">
        <f>(E$1537*D1527)</f>
        <v>1.5</v>
      </c>
      <c r="I1527" s="67"/>
      <c r="J1527" s="9"/>
      <c r="K1527" s="3" t="s">
        <v>296</v>
      </c>
      <c r="L1527" s="5">
        <v>1.5E-3</v>
      </c>
      <c r="M1527" s="6">
        <f>(M1537*L1527)</f>
        <v>1.5</v>
      </c>
    </row>
    <row r="1528" spans="1:13" x14ac:dyDescent="0.25">
      <c r="A1528" s="16" t="s">
        <v>99</v>
      </c>
      <c r="B1528" s="9"/>
      <c r="C1528" s="3" t="s">
        <v>24</v>
      </c>
      <c r="D1528" s="5">
        <v>0.11700000000000001</v>
      </c>
      <c r="E1528" s="6">
        <f>(E$1537*D1528)</f>
        <v>117</v>
      </c>
      <c r="I1528" s="16" t="s">
        <v>99</v>
      </c>
      <c r="J1528" s="9"/>
      <c r="K1528" s="3" t="s">
        <v>24</v>
      </c>
      <c r="L1528" s="5">
        <v>0.11700000000000001</v>
      </c>
      <c r="M1528" s="6">
        <f>(M1537*L1528)</f>
        <v>117</v>
      </c>
    </row>
    <row r="1529" spans="1:13" x14ac:dyDescent="0.25">
      <c r="A1529" s="16" t="s">
        <v>100</v>
      </c>
      <c r="B1529" s="9"/>
      <c r="C1529" s="3" t="s">
        <v>28</v>
      </c>
      <c r="D1529" s="5">
        <v>9.7000000000000003E-2</v>
      </c>
      <c r="E1529" s="6">
        <f>(E$1537*D1529)</f>
        <v>97</v>
      </c>
      <c r="I1529" s="16" t="s">
        <v>100</v>
      </c>
      <c r="J1529" s="9"/>
      <c r="K1529" s="3" t="s">
        <v>28</v>
      </c>
      <c r="L1529" s="5">
        <v>9.7100000000000006E-2</v>
      </c>
      <c r="M1529" s="6">
        <f>(M1537*L1529)</f>
        <v>97.100000000000009</v>
      </c>
    </row>
    <row r="1530" spans="1:13" x14ac:dyDescent="0.25">
      <c r="A1530" s="16" t="s">
        <v>288</v>
      </c>
      <c r="B1530" s="9"/>
      <c r="C1530" s="3" t="s">
        <v>30</v>
      </c>
      <c r="D1530" s="5">
        <v>9.7000000000000003E-2</v>
      </c>
      <c r="E1530" s="6">
        <f>(E$1537*D1530)</f>
        <v>97</v>
      </c>
      <c r="I1530" s="16" t="s">
        <v>288</v>
      </c>
      <c r="J1530" s="9"/>
      <c r="K1530" s="3" t="s">
        <v>30</v>
      </c>
      <c r="L1530" s="5">
        <v>9.7100000000000006E-2</v>
      </c>
      <c r="M1530" s="6">
        <f>(M1537*L1530)</f>
        <v>97.100000000000009</v>
      </c>
    </row>
    <row r="1531" spans="1:13" x14ac:dyDescent="0.25">
      <c r="A1531" s="16" t="s">
        <v>282</v>
      </c>
      <c r="B1531" s="9"/>
      <c r="C1531" s="15" t="s">
        <v>70</v>
      </c>
      <c r="D1531" s="5">
        <v>5.0000000000000001E-3</v>
      </c>
      <c r="E1531" s="6">
        <f>(E$1537*D1531)</f>
        <v>5</v>
      </c>
      <c r="I1531" s="16" t="s">
        <v>282</v>
      </c>
      <c r="J1531" s="9"/>
      <c r="K1531" s="15" t="s">
        <v>70</v>
      </c>
      <c r="L1531" s="5">
        <v>5.0000000000000001E-3</v>
      </c>
      <c r="M1531" s="6">
        <f>(M1537*L1531)</f>
        <v>5</v>
      </c>
    </row>
    <row r="1532" spans="1:13" ht="27.6" x14ac:dyDescent="0.25">
      <c r="A1532" s="26" t="s">
        <v>103</v>
      </c>
      <c r="B1532" s="9"/>
      <c r="C1532" s="15" t="s">
        <v>124</v>
      </c>
      <c r="D1532" s="5">
        <v>0.24399999999999999</v>
      </c>
      <c r="E1532" s="6">
        <f>(E$1537*D1532)</f>
        <v>244</v>
      </c>
      <c r="I1532" s="26" t="s">
        <v>103</v>
      </c>
      <c r="J1532" s="9"/>
      <c r="K1532" s="15" t="s">
        <v>124</v>
      </c>
      <c r="L1532" s="5">
        <v>0.2437</v>
      </c>
      <c r="M1532" s="6">
        <f>(M1537*L1532)</f>
        <v>243.7</v>
      </c>
    </row>
    <row r="1533" spans="1:13" x14ac:dyDescent="0.25">
      <c r="A1533" s="26" t="s">
        <v>283</v>
      </c>
      <c r="B1533" s="9"/>
      <c r="C1533" s="15" t="s">
        <v>153</v>
      </c>
      <c r="D1533" s="32">
        <v>8.5000000000000006E-2</v>
      </c>
      <c r="E1533" s="6">
        <f>(E$1537*D1533)</f>
        <v>85</v>
      </c>
      <c r="I1533" s="26" t="s">
        <v>283</v>
      </c>
      <c r="J1533" s="9"/>
      <c r="K1533" s="15" t="s">
        <v>153</v>
      </c>
      <c r="L1533" s="32">
        <v>8.5000000000000006E-2</v>
      </c>
      <c r="M1533" s="6">
        <f>(M1537*L1533)</f>
        <v>85</v>
      </c>
    </row>
    <row r="1534" spans="1:13" x14ac:dyDescent="0.25">
      <c r="A1534" s="26" t="s">
        <v>131</v>
      </c>
      <c r="B1534" s="9"/>
      <c r="C1534" s="15" t="s">
        <v>130</v>
      </c>
      <c r="D1534" s="5">
        <v>0.03</v>
      </c>
      <c r="E1534" s="6">
        <f>(E$1537*D1534)</f>
        <v>30</v>
      </c>
      <c r="I1534" s="26" t="s">
        <v>131</v>
      </c>
      <c r="J1534" s="9"/>
      <c r="K1534" s="15" t="s">
        <v>130</v>
      </c>
      <c r="L1534" s="5">
        <v>0.03</v>
      </c>
      <c r="M1534" s="6">
        <f>(M1537*L1534)</f>
        <v>30</v>
      </c>
    </row>
    <row r="1535" spans="1:13" ht="27.6" x14ac:dyDescent="0.25">
      <c r="A1535" s="62" t="s">
        <v>133</v>
      </c>
      <c r="B1535" s="9"/>
      <c r="C1535" s="15" t="s">
        <v>153</v>
      </c>
      <c r="D1535" s="5">
        <v>0.155</v>
      </c>
      <c r="E1535" s="6">
        <f>(E$1537*D1535)</f>
        <v>155</v>
      </c>
      <c r="I1535" s="51" t="s">
        <v>133</v>
      </c>
      <c r="J1535" s="9"/>
      <c r="K1535" s="15" t="s">
        <v>153</v>
      </c>
      <c r="L1535" s="5">
        <v>0.1545</v>
      </c>
      <c r="M1535" s="6">
        <f>(M1537*L1535)</f>
        <v>154.5</v>
      </c>
    </row>
    <row r="1536" spans="1:13" x14ac:dyDescent="0.25">
      <c r="A1536" s="63"/>
      <c r="B1536" s="9"/>
      <c r="C1536" s="15" t="s">
        <v>20</v>
      </c>
      <c r="D1536" s="5">
        <v>1.5E-3</v>
      </c>
      <c r="E1536" s="6">
        <f>(E$1537*D1536)</f>
        <v>1.5</v>
      </c>
      <c r="I1536" s="29"/>
      <c r="J1536" s="9"/>
      <c r="K1536" s="15" t="s">
        <v>20</v>
      </c>
      <c r="L1536" s="5">
        <v>1.5E-3</v>
      </c>
      <c r="M1536" s="6">
        <f>(M1537*L1536)</f>
        <v>1.5</v>
      </c>
    </row>
    <row r="1537" spans="1:13" x14ac:dyDescent="0.25">
      <c r="A1537" s="2"/>
      <c r="B1537" s="12"/>
      <c r="C1537" s="2"/>
      <c r="D1537" s="23">
        <f>SUM(D1520:D1536)</f>
        <v>0.99999999999999989</v>
      </c>
      <c r="E1537" s="19">
        <v>1000</v>
      </c>
      <c r="I1537" s="2"/>
      <c r="J1537" s="12"/>
      <c r="K1537" s="2"/>
      <c r="L1537" s="23">
        <f>SUM(L1520:L1536)</f>
        <v>1</v>
      </c>
      <c r="M1537" s="19">
        <v>1000</v>
      </c>
    </row>
    <row r="1538" spans="1:13" ht="13.8" customHeight="1" x14ac:dyDescent="0.25">
      <c r="E1538" s="24"/>
      <c r="K1538" s="33">
        <f>SUM(L1525+L1527+L1528+L1529+L1530+L1532+L1533*0.5+L1534+L1535*0.5)</f>
        <v>0.70865000000000011</v>
      </c>
      <c r="M1538" s="24">
        <f>SUM(M1520:M1536)</f>
        <v>1000</v>
      </c>
    </row>
    <row r="1541" spans="1:13" x14ac:dyDescent="0.25">
      <c r="A1541" s="54" t="s">
        <v>373</v>
      </c>
      <c r="B1541" s="54"/>
      <c r="C1541" s="54"/>
      <c r="D1541" s="54"/>
      <c r="E1541" s="54"/>
      <c r="I1541" s="54" t="s">
        <v>374</v>
      </c>
      <c r="J1541" s="54"/>
      <c r="K1541" s="54"/>
      <c r="L1541" s="54"/>
      <c r="M1541" s="54"/>
    </row>
    <row r="1542" spans="1:13" x14ac:dyDescent="0.25">
      <c r="A1542" s="59" t="s">
        <v>311</v>
      </c>
      <c r="B1542" s="59"/>
      <c r="C1542" s="59"/>
      <c r="D1542" s="59"/>
      <c r="E1542" s="59"/>
      <c r="I1542" s="53" t="s">
        <v>186</v>
      </c>
      <c r="J1542" s="53"/>
      <c r="K1542" s="53"/>
      <c r="L1542" s="53"/>
      <c r="M1542" s="53"/>
    </row>
    <row r="1543" spans="1:13" x14ac:dyDescent="0.25">
      <c r="A1543" s="3" t="s">
        <v>3</v>
      </c>
      <c r="B1543" s="3" t="s">
        <v>97</v>
      </c>
      <c r="D1543" s="3" t="s">
        <v>5</v>
      </c>
      <c r="E1543" s="3" t="s">
        <v>7</v>
      </c>
      <c r="F1543" s="3" t="s">
        <v>313</v>
      </c>
      <c r="I1543" s="3" t="s">
        <v>3</v>
      </c>
      <c r="J1543" s="3" t="s">
        <v>97</v>
      </c>
      <c r="K1543" s="2"/>
      <c r="L1543" s="3" t="s">
        <v>5</v>
      </c>
      <c r="M1543" s="3" t="s">
        <v>7</v>
      </c>
    </row>
    <row r="1544" spans="1:13" ht="20.399999999999999" customHeight="1" x14ac:dyDescent="0.25">
      <c r="A1544" s="60" t="s">
        <v>293</v>
      </c>
      <c r="B1544" s="34"/>
      <c r="C1544" s="3" t="s">
        <v>10</v>
      </c>
      <c r="D1544" s="5">
        <v>0.12959999999999999</v>
      </c>
      <c r="E1544" s="35">
        <f>(E1562*D1544)</f>
        <v>129.6</v>
      </c>
      <c r="F1544" s="36">
        <v>200</v>
      </c>
      <c r="I1544" s="60" t="s">
        <v>98</v>
      </c>
      <c r="J1544" s="4"/>
      <c r="K1544" s="3" t="s">
        <v>10</v>
      </c>
      <c r="L1544" s="5">
        <v>0.15529999999999999</v>
      </c>
      <c r="M1544" s="6">
        <f>(M$1560*L1544)</f>
        <v>465.9</v>
      </c>
    </row>
    <row r="1545" spans="1:13" x14ac:dyDescent="0.25">
      <c r="A1545" s="61"/>
      <c r="B1545" s="34"/>
      <c r="C1545" s="3" t="s">
        <v>232</v>
      </c>
      <c r="D1545" s="5">
        <v>2E-3</v>
      </c>
      <c r="E1545" s="35">
        <f>(E1562*D1545)</f>
        <v>2</v>
      </c>
      <c r="F1545" s="36"/>
      <c r="I1545" s="61"/>
      <c r="J1545" s="4"/>
      <c r="K1545" s="3" t="s">
        <v>166</v>
      </c>
      <c r="L1545" s="5">
        <v>0.02</v>
      </c>
      <c r="M1545" s="6">
        <f>(M$1560*L1545)</f>
        <v>60</v>
      </c>
    </row>
    <row r="1546" spans="1:13" ht="25.5" customHeight="1" x14ac:dyDescent="0.25">
      <c r="A1546" s="61"/>
      <c r="B1546" s="34" t="s">
        <v>314</v>
      </c>
      <c r="C1546" s="3" t="s">
        <v>166</v>
      </c>
      <c r="D1546" s="5">
        <v>0.03</v>
      </c>
      <c r="E1546" s="35">
        <f>(E1562*D1546)</f>
        <v>30</v>
      </c>
      <c r="F1546" s="36"/>
      <c r="I1546" s="61"/>
      <c r="J1546" s="4"/>
      <c r="K1546" s="3" t="s">
        <v>13</v>
      </c>
      <c r="L1546" s="22">
        <v>1.6000000000000001E-3</v>
      </c>
      <c r="M1546" s="6">
        <f>(M$1560*L1546)</f>
        <v>4.8</v>
      </c>
    </row>
    <row r="1547" spans="1:13" x14ac:dyDescent="0.25">
      <c r="A1547" s="61"/>
      <c r="B1547" s="34"/>
      <c r="C1547" s="3" t="s">
        <v>13</v>
      </c>
      <c r="D1547" s="5">
        <v>2E-3</v>
      </c>
      <c r="E1547" s="35">
        <f>(E1562*D1547)</f>
        <v>2</v>
      </c>
      <c r="F1547" s="36"/>
      <c r="I1547" s="61"/>
      <c r="J1547" s="4"/>
      <c r="K1547" s="3" t="s">
        <v>20</v>
      </c>
      <c r="L1547" s="22">
        <v>1E-3</v>
      </c>
      <c r="M1547" s="6">
        <f>(M$1560*L1547)</f>
        <v>3</v>
      </c>
    </row>
    <row r="1548" spans="1:13" ht="13.8" customHeight="1" x14ac:dyDescent="0.25">
      <c r="A1548" s="61"/>
      <c r="B1548" s="34" t="s">
        <v>314</v>
      </c>
      <c r="C1548" s="3" t="s">
        <v>20</v>
      </c>
      <c r="D1548" s="5">
        <v>5.0000000000000001E-4</v>
      </c>
      <c r="E1548" s="35">
        <f>(E1562*D1548)</f>
        <v>0.5</v>
      </c>
      <c r="F1548" s="36">
        <v>230</v>
      </c>
      <c r="I1548" s="61"/>
      <c r="J1548" s="9"/>
      <c r="K1548" s="3" t="s">
        <v>77</v>
      </c>
      <c r="L1548" s="5">
        <v>2E-3</v>
      </c>
      <c r="M1548" s="6">
        <f>(M$1560*L1548)</f>
        <v>6</v>
      </c>
    </row>
    <row r="1549" spans="1:13" x14ac:dyDescent="0.25">
      <c r="A1549" s="61"/>
      <c r="B1549" s="37"/>
      <c r="C1549" s="3" t="s">
        <v>51</v>
      </c>
      <c r="D1549" s="5">
        <v>2.5000000000000001E-3</v>
      </c>
      <c r="E1549" s="35">
        <f>(E1562*D1549)</f>
        <v>2.5</v>
      </c>
      <c r="F1549" s="36">
        <v>400</v>
      </c>
      <c r="I1549" s="61"/>
      <c r="J1549" s="9"/>
      <c r="K1549" s="3" t="s">
        <v>51</v>
      </c>
      <c r="L1549" s="5">
        <v>1.9E-3</v>
      </c>
      <c r="M1549" s="6">
        <f>(M$1560*L1549)</f>
        <v>5.7</v>
      </c>
    </row>
    <row r="1550" spans="1:13" x14ac:dyDescent="0.25">
      <c r="A1550" s="61"/>
      <c r="B1550" s="37"/>
      <c r="C1550" s="3" t="s">
        <v>20</v>
      </c>
      <c r="D1550" s="5">
        <v>5.0000000000000001E-4</v>
      </c>
      <c r="E1550" s="35">
        <f>(E1562*D1550)</f>
        <v>0.5</v>
      </c>
      <c r="F1550" s="36"/>
      <c r="I1550" s="67"/>
      <c r="J1550" s="9"/>
      <c r="K1550" s="3" t="s">
        <v>20</v>
      </c>
      <c r="L1550" s="5">
        <v>1E-3</v>
      </c>
      <c r="M1550" s="6">
        <f>(M$1560*L1550)</f>
        <v>3</v>
      </c>
    </row>
    <row r="1551" spans="1:13" x14ac:dyDescent="0.25">
      <c r="A1551" s="25" t="s">
        <v>295</v>
      </c>
      <c r="B1551" s="37"/>
      <c r="C1551" s="3" t="s">
        <v>296</v>
      </c>
      <c r="D1551" s="5">
        <v>1.5E-3</v>
      </c>
      <c r="E1551" s="35">
        <f>(E1562*D1551)</f>
        <v>1.5</v>
      </c>
      <c r="F1551" s="36">
        <v>1062</v>
      </c>
      <c r="I1551" s="8" t="s">
        <v>99</v>
      </c>
      <c r="J1551" s="9"/>
      <c r="K1551" s="3" t="s">
        <v>24</v>
      </c>
      <c r="L1551" s="5">
        <v>0.12</v>
      </c>
      <c r="M1551" s="6">
        <f>(M$1560*L1551)</f>
        <v>360</v>
      </c>
    </row>
    <row r="1552" spans="1:13" x14ac:dyDescent="0.25">
      <c r="A1552" s="25"/>
      <c r="B1552" s="37"/>
      <c r="C1552" s="3" t="s">
        <v>20</v>
      </c>
      <c r="D1552" s="5">
        <v>5.0000000000000001E-4</v>
      </c>
      <c r="E1552" s="35">
        <f>(E1562*D1552)</f>
        <v>0.5</v>
      </c>
      <c r="F1552" s="36"/>
      <c r="I1552" s="8" t="s">
        <v>100</v>
      </c>
      <c r="J1552" s="9"/>
      <c r="K1552" s="3" t="s">
        <v>28</v>
      </c>
      <c r="L1552" s="5">
        <v>0.1</v>
      </c>
      <c r="M1552" s="6">
        <f>(M$1560*L1552)</f>
        <v>300</v>
      </c>
    </row>
    <row r="1553" spans="1:13" x14ac:dyDescent="0.25">
      <c r="A1553" s="16" t="s">
        <v>99</v>
      </c>
      <c r="B1553" s="37" t="s">
        <v>317</v>
      </c>
      <c r="C1553" s="3" t="s">
        <v>24</v>
      </c>
      <c r="D1553" s="5">
        <v>0.11700000000000001</v>
      </c>
      <c r="E1553" s="35">
        <f>(E1562*D1553)</f>
        <v>117</v>
      </c>
      <c r="F1553" s="36">
        <v>468</v>
      </c>
      <c r="I1553" s="8" t="s">
        <v>101</v>
      </c>
      <c r="J1553" s="9"/>
      <c r="K1553" s="3" t="s">
        <v>30</v>
      </c>
      <c r="L1553" s="5">
        <v>0.1</v>
      </c>
      <c r="M1553" s="6">
        <f>(M$1560*L1553)</f>
        <v>300</v>
      </c>
    </row>
    <row r="1554" spans="1:13" x14ac:dyDescent="0.25">
      <c r="A1554" s="16" t="s">
        <v>100</v>
      </c>
      <c r="B1554" s="37"/>
      <c r="C1554" s="3" t="s">
        <v>28</v>
      </c>
      <c r="D1554" s="5">
        <v>9.7100000000000006E-2</v>
      </c>
      <c r="E1554" s="35">
        <f>(E1562*D1554)</f>
        <v>97.100000000000009</v>
      </c>
      <c r="F1554" s="36">
        <v>747</v>
      </c>
      <c r="I1554" s="8" t="s">
        <v>102</v>
      </c>
      <c r="J1554" s="9"/>
      <c r="K1554" s="15" t="s">
        <v>70</v>
      </c>
      <c r="L1554" s="5">
        <v>1.17E-2</v>
      </c>
      <c r="M1554" s="6">
        <f>(M$1560*L1554)</f>
        <v>35.1</v>
      </c>
    </row>
    <row r="1555" spans="1:13" ht="27.6" x14ac:dyDescent="0.25">
      <c r="A1555" s="16" t="s">
        <v>288</v>
      </c>
      <c r="B1555" s="37" t="s">
        <v>318</v>
      </c>
      <c r="C1555" s="3" t="s">
        <v>30</v>
      </c>
      <c r="D1555" s="5">
        <v>9.7100000000000006E-2</v>
      </c>
      <c r="E1555" s="35">
        <f>(E1562*D1555)</f>
        <v>97.100000000000009</v>
      </c>
      <c r="F1555" s="36">
        <v>989</v>
      </c>
      <c r="I1555" s="26" t="s">
        <v>103</v>
      </c>
      <c r="J1555" s="9"/>
      <c r="K1555" s="15" t="s">
        <v>32</v>
      </c>
      <c r="L1555" s="5">
        <v>0.24</v>
      </c>
      <c r="M1555" s="6">
        <f>(M$1560*L1555)</f>
        <v>720</v>
      </c>
    </row>
    <row r="1556" spans="1:13" x14ac:dyDescent="0.25">
      <c r="A1556" s="16" t="s">
        <v>282</v>
      </c>
      <c r="B1556" s="37"/>
      <c r="C1556" s="15" t="s">
        <v>70</v>
      </c>
      <c r="D1556" s="5">
        <v>5.0000000000000001E-3</v>
      </c>
      <c r="E1556" s="35">
        <f>(E1562*D1556)</f>
        <v>5</v>
      </c>
      <c r="F1556" s="36">
        <v>700</v>
      </c>
      <c r="I1556" s="26" t="s">
        <v>131</v>
      </c>
      <c r="J1556" s="9"/>
      <c r="K1556" s="15" t="s">
        <v>130</v>
      </c>
      <c r="L1556" s="5">
        <v>0.03</v>
      </c>
      <c r="M1556" s="6">
        <f>(M$1560*L1556)</f>
        <v>90</v>
      </c>
    </row>
    <row r="1557" spans="1:13" ht="27.6" x14ac:dyDescent="0.25">
      <c r="A1557" s="26" t="s">
        <v>103</v>
      </c>
      <c r="B1557" s="37" t="s">
        <v>319</v>
      </c>
      <c r="C1557" s="15" t="s">
        <v>124</v>
      </c>
      <c r="D1557" s="5">
        <v>0.2437</v>
      </c>
      <c r="E1557" s="35">
        <f>(E1562*D1557)</f>
        <v>243.7</v>
      </c>
      <c r="F1557" s="36">
        <v>1372</v>
      </c>
      <c r="I1557" s="60" t="s">
        <v>133</v>
      </c>
      <c r="J1557" s="9"/>
      <c r="K1557" s="15" t="s">
        <v>110</v>
      </c>
      <c r="L1557" s="5">
        <v>0.215</v>
      </c>
      <c r="M1557" s="6">
        <f>(M$1560*L1557)</f>
        <v>645</v>
      </c>
    </row>
    <row r="1558" spans="1:13" x14ac:dyDescent="0.25">
      <c r="A1558" s="26" t="s">
        <v>283</v>
      </c>
      <c r="B1558" s="37"/>
      <c r="C1558" s="15" t="s">
        <v>153</v>
      </c>
      <c r="D1558" s="32">
        <v>8.5000000000000006E-2</v>
      </c>
      <c r="E1558" s="35">
        <f>(E1562*D1558)</f>
        <v>85</v>
      </c>
      <c r="F1558" s="36">
        <v>727</v>
      </c>
      <c r="I1558" s="67"/>
      <c r="J1558" s="9"/>
      <c r="K1558" s="15" t="s">
        <v>20</v>
      </c>
      <c r="L1558" s="5">
        <v>5.0000000000000001E-4</v>
      </c>
      <c r="M1558" s="6">
        <f>(M$1560*L1558)</f>
        <v>1.5</v>
      </c>
    </row>
    <row r="1559" spans="1:13" x14ac:dyDescent="0.25">
      <c r="A1559" s="26" t="s">
        <v>131</v>
      </c>
      <c r="B1559" s="37" t="s">
        <v>318</v>
      </c>
      <c r="C1559" s="15" t="s">
        <v>130</v>
      </c>
      <c r="D1559" s="5">
        <v>0.03</v>
      </c>
      <c r="E1559" s="35">
        <f>(E1562*D1559)</f>
        <v>30</v>
      </c>
      <c r="F1559" s="36">
        <v>727</v>
      </c>
      <c r="I1559" s="2"/>
      <c r="J1559" s="12"/>
      <c r="K1559" s="2"/>
      <c r="L1559" s="23">
        <f>SUM(L1544:L1558)</f>
        <v>0.99999999999999989</v>
      </c>
      <c r="M1559" s="19">
        <f>SUM(M1544:M1558)</f>
        <v>3000</v>
      </c>
    </row>
    <row r="1560" spans="1:13" x14ac:dyDescent="0.25">
      <c r="A1560" s="62" t="s">
        <v>133</v>
      </c>
      <c r="B1560" s="37"/>
      <c r="C1560" s="15" t="s">
        <v>153</v>
      </c>
      <c r="D1560" s="5">
        <v>0.1545</v>
      </c>
      <c r="E1560" s="35">
        <f>(E1562*D1560)</f>
        <v>154.5</v>
      </c>
      <c r="F1560" s="36" t="s">
        <v>320</v>
      </c>
      <c r="I1560" s="2"/>
      <c r="J1560" s="2"/>
      <c r="K1560" s="2"/>
      <c r="L1560" s="2"/>
      <c r="M1560" s="19">
        <v>3000</v>
      </c>
    </row>
    <row r="1561" spans="1:13" x14ac:dyDescent="0.25">
      <c r="A1561" s="63"/>
      <c r="B1561" s="37" t="s">
        <v>315</v>
      </c>
      <c r="C1561" s="15" t="s">
        <v>20</v>
      </c>
      <c r="D1561" s="5">
        <v>1.5E-3</v>
      </c>
      <c r="E1561" s="35">
        <f>(E1562*D1561)</f>
        <v>1.5</v>
      </c>
      <c r="F1561" s="36"/>
    </row>
    <row r="1562" spans="1:13" x14ac:dyDescent="0.25">
      <c r="A1562" s="2"/>
      <c r="B1562" s="12"/>
      <c r="C1562" s="2"/>
      <c r="D1562" s="23">
        <f>SUM(D1544:D1561)</f>
        <v>1</v>
      </c>
      <c r="E1562" s="19">
        <v>1000</v>
      </c>
    </row>
    <row r="1563" spans="1:13" x14ac:dyDescent="0.25">
      <c r="C1563" s="33">
        <f>SUM(D1549+D1551+D1553+D1554+D1555+D1557+D1558*0.5+D1559+D1560*0.5)</f>
        <v>0.70865000000000011</v>
      </c>
      <c r="E1563" s="24">
        <f>SUM(E1544:E1561)</f>
        <v>1000</v>
      </c>
    </row>
    <row r="1568" spans="1:13" x14ac:dyDescent="0.25">
      <c r="I1568" s="77"/>
      <c r="J1568" s="77"/>
      <c r="K1568" s="77"/>
      <c r="L1568" s="77"/>
    </row>
    <row r="1569" spans="1:14" x14ac:dyDescent="0.25">
      <c r="A1569" s="54" t="s">
        <v>575</v>
      </c>
      <c r="B1569" s="54"/>
      <c r="C1569" s="54"/>
      <c r="D1569" s="54"/>
      <c r="E1569" s="54"/>
      <c r="I1569" s="54" t="s">
        <v>584</v>
      </c>
      <c r="J1569" s="54"/>
      <c r="K1569" s="54"/>
      <c r="L1569" s="54"/>
      <c r="M1569" s="54"/>
    </row>
    <row r="1570" spans="1:14" x14ac:dyDescent="0.25">
      <c r="A1570" s="59"/>
      <c r="B1570" s="59"/>
      <c r="C1570" s="59"/>
      <c r="D1570" s="59"/>
      <c r="E1570" s="59"/>
      <c r="I1570" s="59"/>
      <c r="J1570" s="59"/>
      <c r="K1570" s="59"/>
      <c r="L1570" s="59"/>
      <c r="M1570" s="59"/>
    </row>
    <row r="1571" spans="1:14" x14ac:dyDescent="0.25">
      <c r="A1571" s="3" t="s">
        <v>3</v>
      </c>
      <c r="B1571" s="3" t="s">
        <v>97</v>
      </c>
      <c r="D1571" s="3" t="s">
        <v>5</v>
      </c>
      <c r="E1571" s="3" t="s">
        <v>7</v>
      </c>
      <c r="F1571" s="3" t="s">
        <v>313</v>
      </c>
      <c r="I1571" s="3" t="s">
        <v>3</v>
      </c>
      <c r="J1571" s="3" t="s">
        <v>97</v>
      </c>
      <c r="L1571" s="3" t="s">
        <v>5</v>
      </c>
      <c r="M1571" s="3" t="s">
        <v>7</v>
      </c>
      <c r="N1571" s="3" t="s">
        <v>313</v>
      </c>
    </row>
    <row r="1572" spans="1:14" x14ac:dyDescent="0.25">
      <c r="A1572" s="60"/>
      <c r="B1572" s="34"/>
      <c r="C1572" s="3" t="s">
        <v>10</v>
      </c>
      <c r="D1572" s="5">
        <v>0.1297017</v>
      </c>
      <c r="E1572" s="6">
        <f>(E$1589*D1572)</f>
        <v>129.70170000000002</v>
      </c>
      <c r="F1572" s="36"/>
      <c r="I1572" s="60"/>
      <c r="J1572" s="34"/>
      <c r="K1572" s="3" t="s">
        <v>10</v>
      </c>
      <c r="L1572" s="5">
        <v>0.129109</v>
      </c>
      <c r="M1572" s="6">
        <f>(M$1589*L1572)</f>
        <v>129.10900000000001</v>
      </c>
      <c r="N1572" s="36"/>
    </row>
    <row r="1573" spans="1:14" x14ac:dyDescent="0.25">
      <c r="A1573" s="61"/>
      <c r="B1573" s="34"/>
      <c r="C1573" s="3" t="s">
        <v>232</v>
      </c>
      <c r="D1573" s="5">
        <v>1.99541E-3</v>
      </c>
      <c r="E1573" s="6">
        <f>(E$1589*D1573)</f>
        <v>1.9954099999999999</v>
      </c>
      <c r="F1573" s="36"/>
      <c r="I1573" s="61"/>
      <c r="J1573" s="34"/>
      <c r="K1573" s="3" t="s">
        <v>232</v>
      </c>
      <c r="L1573" s="5">
        <v>1.9859999999999999E-3</v>
      </c>
      <c r="M1573" s="6">
        <f>(M$1589*L1573)</f>
        <v>1.986</v>
      </c>
      <c r="N1573" s="36"/>
    </row>
    <row r="1574" spans="1:14" x14ac:dyDescent="0.25">
      <c r="A1574" s="61"/>
      <c r="B1574" s="34"/>
      <c r="C1574" s="3" t="s">
        <v>166</v>
      </c>
      <c r="D1574" s="5">
        <v>2.9931159999999998E-2</v>
      </c>
      <c r="E1574" s="6">
        <f>(E$1589*D1574)</f>
        <v>29.931159999999998</v>
      </c>
      <c r="F1574" s="36"/>
      <c r="I1574" s="61"/>
      <c r="J1574" s="34"/>
      <c r="K1574" s="3" t="s">
        <v>166</v>
      </c>
      <c r="L1574" s="5">
        <v>3.3766999999999998E-2</v>
      </c>
      <c r="M1574" s="6">
        <f>(M$1589*L1574)</f>
        <v>33.766999999999996</v>
      </c>
      <c r="N1574" s="36"/>
    </row>
    <row r="1575" spans="1:14" x14ac:dyDescent="0.25">
      <c r="A1575" s="61"/>
      <c r="B1575" s="34"/>
      <c r="C1575" s="3" t="s">
        <v>13</v>
      </c>
      <c r="D1575" s="5">
        <v>1.99541E-3</v>
      </c>
      <c r="E1575" s="6">
        <f>(E$1589*D1575)</f>
        <v>1.9954099999999999</v>
      </c>
      <c r="F1575" s="36"/>
      <c r="I1575" s="61"/>
      <c r="J1575" s="34"/>
      <c r="K1575" s="3" t="s">
        <v>13</v>
      </c>
      <c r="L1575" s="5">
        <v>2.9789999999999999E-3</v>
      </c>
      <c r="M1575" s="6">
        <f>(M$1589*L1575)</f>
        <v>2.9790000000000001</v>
      </c>
      <c r="N1575" s="36"/>
    </row>
    <row r="1576" spans="1:14" x14ac:dyDescent="0.25">
      <c r="A1576" s="61"/>
      <c r="B1576" s="34"/>
      <c r="C1576" s="3" t="s">
        <v>20</v>
      </c>
      <c r="D1576" s="5">
        <v>2.4942599999999999E-3</v>
      </c>
      <c r="E1576" s="6">
        <f>(E$1589*D1576)</f>
        <v>2.4942599999999997</v>
      </c>
      <c r="F1576" s="36"/>
      <c r="I1576" s="61"/>
      <c r="J1576" s="34"/>
      <c r="K1576" s="3" t="s">
        <v>20</v>
      </c>
      <c r="L1576" s="5">
        <v>3.8730000000000001E-3</v>
      </c>
      <c r="M1576" s="6">
        <f>(M$1589*L1576)</f>
        <v>3.8730000000000002</v>
      </c>
      <c r="N1576" s="36"/>
    </row>
    <row r="1577" spans="1:14" x14ac:dyDescent="0.25">
      <c r="A1577" s="61"/>
      <c r="B1577" s="37"/>
      <c r="C1577" s="3" t="s">
        <v>51</v>
      </c>
      <c r="D1577" s="5">
        <v>2.4942599999999999E-3</v>
      </c>
      <c r="E1577" s="6">
        <f>(E$1589*D1577)</f>
        <v>2.4942599999999997</v>
      </c>
      <c r="F1577" s="36"/>
      <c r="I1577" s="61"/>
      <c r="J1577" s="37"/>
      <c r="K1577" s="3" t="s">
        <v>51</v>
      </c>
      <c r="L1577" s="5">
        <v>2.483E-3</v>
      </c>
      <c r="M1577" s="6">
        <f>(M$1589*L1577)</f>
        <v>2.4830000000000001</v>
      </c>
      <c r="N1577" s="36"/>
    </row>
    <row r="1578" spans="1:14" x14ac:dyDescent="0.25">
      <c r="A1578" s="61"/>
      <c r="B1578" s="37"/>
      <c r="C1578" s="3" t="s">
        <v>296</v>
      </c>
      <c r="D1578" s="5">
        <v>1.4965600000000001E-3</v>
      </c>
      <c r="E1578" s="6">
        <f>(E$1589*D1578)</f>
        <v>1.4965600000000001</v>
      </c>
      <c r="F1578" s="36"/>
      <c r="I1578" s="61"/>
      <c r="J1578" s="37"/>
      <c r="K1578" s="3" t="s">
        <v>20</v>
      </c>
      <c r="L1578" s="5">
        <v>9.9299999999999996E-4</v>
      </c>
      <c r="M1578" s="6">
        <f>(M$1589*L1578)</f>
        <v>0.99299999999999999</v>
      </c>
      <c r="N1578" s="36"/>
    </row>
    <row r="1579" spans="1:14" x14ac:dyDescent="0.25">
      <c r="A1579" s="25"/>
      <c r="B1579" s="37"/>
      <c r="C1579" s="3" t="s">
        <v>20</v>
      </c>
      <c r="D1579" s="5">
        <v>2.2947200000000001E-3</v>
      </c>
      <c r="E1579" s="6">
        <f>(E$1589*D1579)</f>
        <v>2.2947199999999999</v>
      </c>
      <c r="F1579" s="36"/>
      <c r="I1579" s="25"/>
      <c r="J1579" s="37"/>
      <c r="K1579" s="3" t="s">
        <v>296</v>
      </c>
      <c r="L1579" s="5">
        <v>9.9299999999999996E-4</v>
      </c>
      <c r="M1579" s="6">
        <f>(M$1589*L1579)</f>
        <v>0.99299999999999999</v>
      </c>
      <c r="N1579" s="36"/>
    </row>
    <row r="1580" spans="1:14" x14ac:dyDescent="0.25">
      <c r="A1580" s="25"/>
      <c r="B1580" s="37"/>
      <c r="C1580" s="3" t="s">
        <v>24</v>
      </c>
      <c r="D1580" s="5">
        <v>4.9885260000000001E-2</v>
      </c>
      <c r="E1580" s="6">
        <f>(E$1589*D1580)</f>
        <v>49.885260000000002</v>
      </c>
      <c r="F1580" s="36"/>
      <c r="I1580" s="25"/>
      <c r="J1580" s="37"/>
      <c r="K1580" s="3" t="s">
        <v>24</v>
      </c>
      <c r="L1580" s="5">
        <v>4.9657E-2</v>
      </c>
      <c r="M1580" s="6">
        <f>(M$1589*L1580)</f>
        <v>49.656999999999996</v>
      </c>
      <c r="N1580" s="36"/>
    </row>
    <row r="1581" spans="1:14" x14ac:dyDescent="0.25">
      <c r="A1581" s="16"/>
      <c r="B1581" s="37"/>
      <c r="C1581" s="3" t="s">
        <v>574</v>
      </c>
      <c r="D1581" s="45">
        <v>3.990821E-2</v>
      </c>
      <c r="E1581" s="6">
        <f>(E$1589*D1581)</f>
        <v>39.908209999999997</v>
      </c>
      <c r="F1581" s="36"/>
      <c r="I1581" s="16"/>
      <c r="J1581" s="37"/>
      <c r="K1581" s="3" t="s">
        <v>585</v>
      </c>
      <c r="L1581" s="5">
        <v>3.7740000000000003E-2</v>
      </c>
      <c r="M1581" s="6">
        <f>(M$1589*L1581)</f>
        <v>37.74</v>
      </c>
      <c r="N1581" s="36"/>
    </row>
    <row r="1582" spans="1:14" x14ac:dyDescent="0.25">
      <c r="A1582" s="16"/>
      <c r="B1582" s="37"/>
      <c r="C1582" s="3" t="s">
        <v>28</v>
      </c>
      <c r="D1582" s="5">
        <v>0.1197246</v>
      </c>
      <c r="E1582" s="6">
        <f>(E$1589*D1582)</f>
        <v>119.7246</v>
      </c>
      <c r="F1582" s="36"/>
      <c r="I1582" s="16"/>
      <c r="J1582" s="37"/>
      <c r="K1582" s="3" t="s">
        <v>28</v>
      </c>
      <c r="L1582" s="5">
        <v>0.11917800000000001</v>
      </c>
      <c r="M1582" s="6">
        <f>(M$1589*L1582)</f>
        <v>119.17800000000001</v>
      </c>
      <c r="N1582" s="36"/>
    </row>
    <row r="1583" spans="1:14" x14ac:dyDescent="0.25">
      <c r="A1583" s="16"/>
      <c r="B1583" s="37"/>
      <c r="C1583" s="3" t="s">
        <v>30</v>
      </c>
      <c r="D1583" s="5">
        <v>9.2786590000000002E-2</v>
      </c>
      <c r="E1583" s="6">
        <f>(E$1589*D1583)</f>
        <v>92.786590000000004</v>
      </c>
      <c r="F1583" s="36"/>
      <c r="I1583" s="16"/>
      <c r="J1583" s="37"/>
      <c r="K1583" s="3" t="s">
        <v>30</v>
      </c>
      <c r="L1583" s="5">
        <v>9.4349000000000002E-2</v>
      </c>
      <c r="M1583" s="6">
        <f>(M$1589*L1583)</f>
        <v>94.349000000000004</v>
      </c>
      <c r="N1583" s="36"/>
    </row>
    <row r="1584" spans="1:14" x14ac:dyDescent="0.25">
      <c r="A1584" s="16"/>
      <c r="B1584" s="37"/>
      <c r="C1584" s="15" t="s">
        <v>70</v>
      </c>
      <c r="D1584" s="5">
        <v>2.9931200000000002E-3</v>
      </c>
      <c r="E1584" s="6">
        <f>(E$1589*D1584)</f>
        <v>2.9931200000000002</v>
      </c>
      <c r="F1584" s="36"/>
      <c r="I1584" s="16"/>
      <c r="J1584" s="37"/>
      <c r="K1584" s="15" t="s">
        <v>70</v>
      </c>
      <c r="L1584" s="5">
        <v>2.9789999999999999E-3</v>
      </c>
      <c r="M1584" s="6">
        <f>(M$1589*L1584)</f>
        <v>2.9790000000000001</v>
      </c>
      <c r="N1584" s="36"/>
    </row>
    <row r="1585" spans="1:14" x14ac:dyDescent="0.25">
      <c r="A1585" s="26"/>
      <c r="B1585" s="37"/>
      <c r="C1585" s="15" t="s">
        <v>124</v>
      </c>
      <c r="D1585" s="5">
        <v>0.26938040000000002</v>
      </c>
      <c r="E1585" s="6">
        <f>(E$1589*D1585)</f>
        <v>269.38040000000001</v>
      </c>
      <c r="F1585" s="36"/>
      <c r="I1585" s="26"/>
      <c r="J1585" s="37"/>
      <c r="K1585" s="15" t="s">
        <v>124</v>
      </c>
      <c r="L1585" s="5">
        <v>0.26815</v>
      </c>
      <c r="M1585" s="6">
        <f>(M$1589*L1585)</f>
        <v>268.14999999999998</v>
      </c>
      <c r="N1585" s="36"/>
    </row>
    <row r="1586" spans="1:14" x14ac:dyDescent="0.25">
      <c r="A1586" s="26"/>
      <c r="B1586" s="37"/>
      <c r="C1586" s="15" t="s">
        <v>153</v>
      </c>
      <c r="D1586" s="32">
        <v>6.9839369999999998E-2</v>
      </c>
      <c r="E1586" s="6">
        <f>(E$1589*D1586)</f>
        <v>69.839370000000002</v>
      </c>
      <c r="F1586" s="36"/>
      <c r="I1586" s="26"/>
      <c r="J1586" s="37"/>
      <c r="K1586" s="15" t="s">
        <v>153</v>
      </c>
      <c r="L1586" s="5">
        <v>6.9519999999999998E-2</v>
      </c>
      <c r="M1586" s="6">
        <f>(M$1589*L1586)</f>
        <v>69.52</v>
      </c>
      <c r="N1586" s="36"/>
    </row>
    <row r="1587" spans="1:14" x14ac:dyDescent="0.25">
      <c r="A1587" s="26"/>
      <c r="B1587" s="37"/>
      <c r="C1587" s="15" t="s">
        <v>130</v>
      </c>
      <c r="D1587" s="5">
        <v>4.9885260000000001E-2</v>
      </c>
      <c r="E1587" s="6">
        <f>(E$1589*D1587)</f>
        <v>49.885260000000002</v>
      </c>
      <c r="F1587" s="36"/>
      <c r="I1587" s="26"/>
      <c r="J1587" s="37"/>
      <c r="K1587" s="15" t="s">
        <v>130</v>
      </c>
      <c r="L1587" s="5">
        <v>4.9657E-2</v>
      </c>
      <c r="M1587" s="6">
        <f>(M$1589*L1587)</f>
        <v>49.656999999999996</v>
      </c>
      <c r="N1587" s="36"/>
    </row>
    <row r="1588" spans="1:14" x14ac:dyDescent="0.25">
      <c r="A1588" s="4"/>
      <c r="B1588" s="37"/>
      <c r="C1588" s="15" t="s">
        <v>153</v>
      </c>
      <c r="D1588" s="5">
        <v>0.1331937</v>
      </c>
      <c r="E1588" s="6">
        <f>(E$1589*D1588)</f>
        <v>133.19370000000001</v>
      </c>
      <c r="F1588" s="36"/>
      <c r="I1588" s="4"/>
      <c r="J1588" s="37"/>
      <c r="K1588" s="15" t="s">
        <v>153</v>
      </c>
      <c r="L1588" s="5">
        <v>0.13258500000000001</v>
      </c>
      <c r="M1588" s="6">
        <f>(M$1589*L1588)</f>
        <v>132.58500000000001</v>
      </c>
      <c r="N1588" s="36"/>
    </row>
    <row r="1589" spans="1:14" x14ac:dyDescent="0.25">
      <c r="B1589" s="12"/>
      <c r="C1589" s="2"/>
      <c r="D1589" s="23">
        <f>SUM(D1572:D1588)</f>
        <v>0.99999999000000006</v>
      </c>
      <c r="E1589" s="19">
        <v>1000</v>
      </c>
      <c r="J1589" s="12"/>
      <c r="K1589" s="2"/>
      <c r="L1589" s="23">
        <f>SUM(L1572:L1588)</f>
        <v>0.99999799999999994</v>
      </c>
      <c r="M1589" s="19">
        <v>1000</v>
      </c>
    </row>
    <row r="1590" spans="1:14" x14ac:dyDescent="0.25">
      <c r="C1590" s="33"/>
      <c r="E1590" s="24"/>
      <c r="K1590" s="33"/>
      <c r="M1590" s="24"/>
    </row>
    <row r="1593" spans="1:14" x14ac:dyDescent="0.25">
      <c r="K1593" s="125"/>
    </row>
    <row r="1594" spans="1:14" x14ac:dyDescent="0.25">
      <c r="K1594" s="125"/>
    </row>
    <row r="1595" spans="1:14" x14ac:dyDescent="0.25">
      <c r="K1595" s="125"/>
    </row>
    <row r="1596" spans="1:14" x14ac:dyDescent="0.25">
      <c r="A1596" s="54" t="s">
        <v>588</v>
      </c>
      <c r="B1596" s="54"/>
      <c r="C1596" s="54"/>
      <c r="D1596" s="54"/>
      <c r="E1596" s="54"/>
      <c r="I1596" s="54" t="s">
        <v>596</v>
      </c>
      <c r="J1596" s="54"/>
      <c r="K1596" s="54"/>
      <c r="L1596" s="54"/>
      <c r="M1596" s="54"/>
    </row>
    <row r="1597" spans="1:14" x14ac:dyDescent="0.25">
      <c r="A1597" s="59"/>
      <c r="B1597" s="59"/>
      <c r="C1597" s="59"/>
      <c r="D1597" s="59"/>
      <c r="E1597" s="59"/>
      <c r="I1597" s="59"/>
      <c r="J1597" s="59"/>
      <c r="K1597" s="59"/>
      <c r="L1597" s="59"/>
      <c r="M1597" s="59"/>
    </row>
    <row r="1598" spans="1:14" x14ac:dyDescent="0.25">
      <c r="A1598" s="3" t="s">
        <v>3</v>
      </c>
      <c r="B1598" s="3" t="s">
        <v>97</v>
      </c>
      <c r="D1598" s="3" t="s">
        <v>5</v>
      </c>
      <c r="E1598" s="3" t="s">
        <v>7</v>
      </c>
      <c r="F1598" s="3" t="s">
        <v>313</v>
      </c>
      <c r="I1598" s="3" t="s">
        <v>3</v>
      </c>
      <c r="J1598" s="3" t="s">
        <v>97</v>
      </c>
      <c r="L1598" s="3" t="s">
        <v>5</v>
      </c>
      <c r="M1598" s="3" t="s">
        <v>7</v>
      </c>
      <c r="N1598" s="3" t="s">
        <v>313</v>
      </c>
    </row>
    <row r="1599" spans="1:14" x14ac:dyDescent="0.25">
      <c r="A1599" s="132" t="s">
        <v>591</v>
      </c>
      <c r="B1599" s="34"/>
      <c r="C1599" s="3" t="s">
        <v>10</v>
      </c>
      <c r="D1599" s="5">
        <v>0.1449</v>
      </c>
      <c r="E1599" s="6">
        <f>(E$1589*D1599)</f>
        <v>144.9</v>
      </c>
      <c r="F1599" s="36"/>
      <c r="I1599" s="132" t="s">
        <v>591</v>
      </c>
      <c r="J1599" s="34"/>
      <c r="K1599" s="3" t="s">
        <v>10</v>
      </c>
      <c r="L1599" s="5">
        <v>0.14451</v>
      </c>
      <c r="M1599" s="6">
        <f>(M$1589*L1599)</f>
        <v>144.51</v>
      </c>
      <c r="N1599" s="36"/>
    </row>
    <row r="1600" spans="1:14" x14ac:dyDescent="0.25">
      <c r="A1600" s="132"/>
      <c r="B1600" s="34"/>
      <c r="C1600" s="3" t="s">
        <v>232</v>
      </c>
      <c r="D1600" s="5">
        <v>2E-3</v>
      </c>
      <c r="E1600" s="6">
        <f>(E$1589*D1600)</f>
        <v>2</v>
      </c>
      <c r="F1600" s="36"/>
      <c r="I1600" s="132"/>
      <c r="J1600" s="34"/>
      <c r="K1600" s="3" t="s">
        <v>232</v>
      </c>
      <c r="L1600" s="5">
        <v>1.99E-3</v>
      </c>
      <c r="M1600" s="6">
        <f>(M$1589*L1600)</f>
        <v>1.99</v>
      </c>
      <c r="N1600" s="36"/>
    </row>
    <row r="1601" spans="1:14" x14ac:dyDescent="0.25">
      <c r="A1601" s="132"/>
      <c r="B1601" s="34"/>
      <c r="C1601" s="3" t="s">
        <v>166</v>
      </c>
      <c r="D1601" s="5">
        <v>0.03</v>
      </c>
      <c r="E1601" s="6">
        <f>(E$1589*D1601)</f>
        <v>30</v>
      </c>
      <c r="F1601" s="36"/>
      <c r="I1601" s="132"/>
      <c r="J1601" s="34"/>
      <c r="K1601" s="3" t="s">
        <v>166</v>
      </c>
      <c r="L1601" s="5">
        <v>2.9919999999999999E-2</v>
      </c>
      <c r="M1601" s="6">
        <f>(M$1589*L1601)</f>
        <v>29.919999999999998</v>
      </c>
      <c r="N1601" s="36"/>
    </row>
    <row r="1602" spans="1:14" x14ac:dyDescent="0.25">
      <c r="A1602" s="132"/>
      <c r="B1602" s="34"/>
      <c r="C1602" s="3" t="s">
        <v>13</v>
      </c>
      <c r="D1602" s="5">
        <v>1.6000000000000001E-3</v>
      </c>
      <c r="E1602" s="6">
        <f>(E$1589*D1602)</f>
        <v>1.6</v>
      </c>
      <c r="F1602" s="36"/>
      <c r="I1602" s="132"/>
      <c r="J1602" s="34"/>
      <c r="K1602" s="3" t="s">
        <v>13</v>
      </c>
      <c r="L1602" s="5">
        <v>1.6000000000000001E-3</v>
      </c>
      <c r="M1602" s="6">
        <f>(M$1589*L1602)</f>
        <v>1.6</v>
      </c>
      <c r="N1602" s="36"/>
    </row>
    <row r="1603" spans="1:14" x14ac:dyDescent="0.25">
      <c r="A1603" s="132" t="s">
        <v>589</v>
      </c>
      <c r="B1603" s="34"/>
      <c r="C1603" s="3" t="s">
        <v>20</v>
      </c>
      <c r="D1603" s="5">
        <v>1E-3</v>
      </c>
      <c r="E1603" s="6">
        <f>(E$1589*D1603)</f>
        <v>1</v>
      </c>
      <c r="F1603" s="36"/>
      <c r="I1603" s="132" t="s">
        <v>589</v>
      </c>
      <c r="J1603" s="34"/>
      <c r="K1603" s="3" t="s">
        <v>20</v>
      </c>
      <c r="L1603" s="5">
        <v>1E-3</v>
      </c>
      <c r="M1603" s="6">
        <f>(M$1589*L1603)</f>
        <v>1</v>
      </c>
      <c r="N1603" s="36"/>
    </row>
    <row r="1604" spans="1:14" x14ac:dyDescent="0.25">
      <c r="A1604" s="132"/>
      <c r="B1604" s="37"/>
      <c r="C1604" s="3" t="s">
        <v>51</v>
      </c>
      <c r="D1604" s="5">
        <v>1.8E-3</v>
      </c>
      <c r="E1604" s="6">
        <f>(E$1589*D1604)</f>
        <v>1.8</v>
      </c>
      <c r="F1604" s="36"/>
      <c r="I1604" s="132"/>
      <c r="J1604" s="37"/>
      <c r="K1604" s="3" t="s">
        <v>51</v>
      </c>
      <c r="L1604" s="5">
        <v>1.8E-3</v>
      </c>
      <c r="M1604" s="6">
        <f>(M$1589*L1604)</f>
        <v>1.8</v>
      </c>
      <c r="N1604" s="36"/>
    </row>
    <row r="1605" spans="1:14" x14ac:dyDescent="0.25">
      <c r="A1605" s="60" t="s">
        <v>590</v>
      </c>
      <c r="B1605" s="37"/>
      <c r="C1605" s="3" t="s">
        <v>20</v>
      </c>
      <c r="D1605" s="5">
        <v>1E-3</v>
      </c>
      <c r="E1605" s="6">
        <f>(E$1589*D1605)</f>
        <v>1</v>
      </c>
      <c r="F1605" s="36"/>
      <c r="I1605" s="60" t="s">
        <v>590</v>
      </c>
      <c r="J1605" s="37"/>
      <c r="K1605" s="3" t="s">
        <v>20</v>
      </c>
      <c r="L1605" s="5">
        <v>1E-3</v>
      </c>
      <c r="M1605" s="6">
        <f>(M$1589*L1605)</f>
        <v>1</v>
      </c>
      <c r="N1605" s="36"/>
    </row>
    <row r="1606" spans="1:14" x14ac:dyDescent="0.25">
      <c r="A1606" s="67"/>
      <c r="B1606" s="37"/>
      <c r="C1606" s="3" t="s">
        <v>24</v>
      </c>
      <c r="D1606" s="5">
        <v>0.12</v>
      </c>
      <c r="E1606" s="6">
        <f>(E$1589*D1606)</f>
        <v>120</v>
      </c>
      <c r="F1606" s="36"/>
      <c r="I1606" s="67"/>
      <c r="J1606" s="37"/>
      <c r="K1606" s="3" t="s">
        <v>24</v>
      </c>
      <c r="L1606" s="5">
        <v>0.11967999999999999</v>
      </c>
      <c r="M1606" s="6">
        <f>(M$1589*L1606)</f>
        <v>119.67999999999999</v>
      </c>
      <c r="N1606" s="36"/>
    </row>
    <row r="1607" spans="1:14" x14ac:dyDescent="0.25">
      <c r="A1607" s="8" t="s">
        <v>590</v>
      </c>
      <c r="B1607" s="37"/>
      <c r="C1607" s="3" t="s">
        <v>28</v>
      </c>
      <c r="D1607" s="5">
        <v>0.09</v>
      </c>
      <c r="E1607" s="6">
        <f>(E$1589*D1607)</f>
        <v>90</v>
      </c>
      <c r="F1607" s="36"/>
      <c r="I1607" s="8" t="s">
        <v>590</v>
      </c>
      <c r="J1607" s="37"/>
      <c r="K1607" s="3" t="s">
        <v>28</v>
      </c>
      <c r="L1607" s="5">
        <v>8.9760000000000006E-2</v>
      </c>
      <c r="M1607" s="6">
        <f>(M$1589*L1607)</f>
        <v>89.76</v>
      </c>
      <c r="N1607" s="36"/>
    </row>
    <row r="1608" spans="1:14" x14ac:dyDescent="0.25">
      <c r="A1608" s="8" t="s">
        <v>590</v>
      </c>
      <c r="B1608" s="37"/>
      <c r="C1608" s="3" t="s">
        <v>30</v>
      </c>
      <c r="D1608" s="5">
        <v>0.09</v>
      </c>
      <c r="E1608" s="6">
        <f>(E$1589*D1608)</f>
        <v>90</v>
      </c>
      <c r="F1608" s="36"/>
      <c r="I1608" s="8" t="s">
        <v>590</v>
      </c>
      <c r="J1608" s="37"/>
      <c r="K1608" s="3" t="s">
        <v>30</v>
      </c>
      <c r="L1608" s="5">
        <v>8.9760000000000006E-2</v>
      </c>
      <c r="M1608" s="6">
        <f>(M$1589*L1608)</f>
        <v>89.76</v>
      </c>
      <c r="N1608" s="36"/>
    </row>
    <row r="1609" spans="1:14" x14ac:dyDescent="0.25">
      <c r="A1609" s="8" t="s">
        <v>592</v>
      </c>
      <c r="B1609" s="37"/>
      <c r="C1609" s="15" t="s">
        <v>70</v>
      </c>
      <c r="D1609" s="5">
        <v>1.17E-2</v>
      </c>
      <c r="E1609" s="6">
        <f>(E$1589*D1609)</f>
        <v>11.700000000000001</v>
      </c>
      <c r="F1609" s="36"/>
      <c r="I1609" s="8" t="s">
        <v>592</v>
      </c>
      <c r="J1609" s="37"/>
      <c r="K1609" s="15" t="s">
        <v>70</v>
      </c>
      <c r="L1609" s="5">
        <v>1.167E-2</v>
      </c>
      <c r="M1609" s="6">
        <f>(M$1589*L1609)</f>
        <v>11.67</v>
      </c>
      <c r="N1609" s="36"/>
    </row>
    <row r="1610" spans="1:14" x14ac:dyDescent="0.25">
      <c r="A1610" s="8" t="s">
        <v>590</v>
      </c>
      <c r="B1610" s="37"/>
      <c r="C1610" s="15" t="s">
        <v>32</v>
      </c>
      <c r="D1610" s="5">
        <v>0.25</v>
      </c>
      <c r="E1610" s="6">
        <f>(E$1589*D1610)</f>
        <v>250</v>
      </c>
      <c r="F1610" s="36"/>
      <c r="I1610" s="8" t="s">
        <v>590</v>
      </c>
      <c r="J1610" s="37"/>
      <c r="K1610" s="15" t="s">
        <v>597</v>
      </c>
      <c r="L1610" s="5">
        <v>0.24929999999999999</v>
      </c>
      <c r="M1610" s="6">
        <f>(M$1589*L1610)</f>
        <v>249.29999999999998</v>
      </c>
      <c r="N1610" s="36"/>
    </row>
    <row r="1611" spans="1:14" x14ac:dyDescent="0.25">
      <c r="A1611" s="8" t="s">
        <v>589</v>
      </c>
      <c r="B1611" s="37"/>
      <c r="C1611" s="15" t="s">
        <v>130</v>
      </c>
      <c r="D1611" s="5">
        <v>0.03</v>
      </c>
      <c r="E1611" s="6">
        <f>(E$1589*D1611)</f>
        <v>30</v>
      </c>
      <c r="F1611" s="36"/>
      <c r="I1611" s="8" t="s">
        <v>589</v>
      </c>
      <c r="J1611" s="37"/>
      <c r="K1611" s="15" t="s">
        <v>130</v>
      </c>
      <c r="L1611" s="5">
        <v>2.9919999999999999E-2</v>
      </c>
      <c r="M1611" s="6">
        <f>(M$1589*L1611)</f>
        <v>29.919999999999998</v>
      </c>
      <c r="N1611" s="36"/>
    </row>
    <row r="1612" spans="1:14" x14ac:dyDescent="0.25">
      <c r="A1612" s="8" t="s">
        <v>593</v>
      </c>
      <c r="B1612" s="37"/>
      <c r="C1612" s="15" t="s">
        <v>153</v>
      </c>
      <c r="D1612" s="5">
        <v>0.22500000000000001</v>
      </c>
      <c r="E1612" s="6">
        <f>(E$1589*D1612)</f>
        <v>225</v>
      </c>
      <c r="F1612" s="36"/>
      <c r="I1612" s="8" t="s">
        <v>593</v>
      </c>
      <c r="J1612" s="37"/>
      <c r="K1612" s="15" t="s">
        <v>153</v>
      </c>
      <c r="L1612" s="5">
        <v>0.22708999999999999</v>
      </c>
      <c r="M1612" s="6">
        <f>(M$1589*L1612)</f>
        <v>227.08999999999997</v>
      </c>
      <c r="N1612" s="36"/>
    </row>
    <row r="1613" spans="1:14" x14ac:dyDescent="0.25">
      <c r="A1613" s="8" t="s">
        <v>594</v>
      </c>
      <c r="B1613" s="37"/>
      <c r="C1613" s="3" t="s">
        <v>20</v>
      </c>
      <c r="D1613" s="5">
        <v>1E-3</v>
      </c>
      <c r="E1613" s="4">
        <f>(E$1589*D1613)</f>
        <v>1</v>
      </c>
      <c r="F1613" s="4"/>
      <c r="I1613" s="8" t="s">
        <v>594</v>
      </c>
      <c r="J1613" s="37"/>
      <c r="K1613" s="3" t="s">
        <v>20</v>
      </c>
      <c r="L1613" s="5">
        <v>1E-3</v>
      </c>
      <c r="M1613" s="4">
        <f>(M$1589*L1613)</f>
        <v>1</v>
      </c>
      <c r="N1613" s="4"/>
    </row>
    <row r="1614" spans="1:14" x14ac:dyDescent="0.25">
      <c r="B1614" s="12"/>
      <c r="C1614" s="2"/>
      <c r="D1614" s="23">
        <f>SUM(D1599:D1613)</f>
        <v>1</v>
      </c>
      <c r="E1614" s="19">
        <v>1000</v>
      </c>
      <c r="J1614" s="12"/>
      <c r="K1614" s="2"/>
      <c r="L1614" s="23">
        <f>SUM(L1599:L1613)</f>
        <v>1</v>
      </c>
      <c r="M1614" s="19">
        <v>1000</v>
      </c>
    </row>
    <row r="1615" spans="1:14" x14ac:dyDescent="0.25">
      <c r="C1615" s="33"/>
      <c r="E1615" s="24"/>
      <c r="K1615" s="33"/>
      <c r="M1615" s="24"/>
    </row>
    <row r="1617" spans="10:10" x14ac:dyDescent="0.25">
      <c r="J1617" s="126"/>
    </row>
    <row r="1618" spans="10:10" x14ac:dyDescent="0.25">
      <c r="J1618" s="126"/>
    </row>
    <row r="1619" spans="10:10" x14ac:dyDescent="0.25">
      <c r="J1619" s="126"/>
    </row>
    <row r="1620" spans="10:10" x14ac:dyDescent="0.25">
      <c r="J1620" s="126"/>
    </row>
    <row r="1621" spans="10:10" x14ac:dyDescent="0.25">
      <c r="J1621" s="126"/>
    </row>
    <row r="1622" spans="10:10" x14ac:dyDescent="0.25">
      <c r="J1622" s="126"/>
    </row>
    <row r="1623" spans="10:10" x14ac:dyDescent="0.25">
      <c r="J1623" s="126"/>
    </row>
    <row r="1624" spans="10:10" x14ac:dyDescent="0.25">
      <c r="J1624" s="126"/>
    </row>
    <row r="1625" spans="10:10" x14ac:dyDescent="0.25">
      <c r="J1625" s="126"/>
    </row>
    <row r="1626" spans="10:10" x14ac:dyDescent="0.25">
      <c r="J1626" s="126"/>
    </row>
    <row r="1627" spans="10:10" x14ac:dyDescent="0.25">
      <c r="J1627" s="126"/>
    </row>
    <row r="1628" spans="10:10" x14ac:dyDescent="0.25">
      <c r="J1628" s="126"/>
    </row>
    <row r="1629" spans="10:10" x14ac:dyDescent="0.25">
      <c r="J1629" s="126"/>
    </row>
    <row r="1630" spans="10:10" x14ac:dyDescent="0.25">
      <c r="J1630" s="126"/>
    </row>
    <row r="1631" spans="10:10" x14ac:dyDescent="0.25">
      <c r="J1631" s="126"/>
    </row>
  </sheetData>
  <mergeCells count="432">
    <mergeCell ref="A1596:E1596"/>
    <mergeCell ref="A1597:E1597"/>
    <mergeCell ref="A1599:A1602"/>
    <mergeCell ref="A1603:A1604"/>
    <mergeCell ref="A1605:A1606"/>
    <mergeCell ref="I1596:M1596"/>
    <mergeCell ref="I1597:M1597"/>
    <mergeCell ref="I1599:I1602"/>
    <mergeCell ref="I1603:I1604"/>
    <mergeCell ref="I1605:I1606"/>
    <mergeCell ref="I1517:M1517"/>
    <mergeCell ref="I1520:I1527"/>
    <mergeCell ref="I1541:M1541"/>
    <mergeCell ref="I1544:I1550"/>
    <mergeCell ref="A1569:E1569"/>
    <mergeCell ref="A1570:E1570"/>
    <mergeCell ref="A1572:A1578"/>
    <mergeCell ref="I1569:M1569"/>
    <mergeCell ref="I1570:M1570"/>
    <mergeCell ref="I1572:I1578"/>
    <mergeCell ref="A1544:A1550"/>
    <mergeCell ref="I1557:I1558"/>
    <mergeCell ref="A1560:A1561"/>
    <mergeCell ref="F365:G365"/>
    <mergeCell ref="L365:M365"/>
    <mergeCell ref="I365:K365"/>
    <mergeCell ref="E386:F386"/>
    <mergeCell ref="A386:D386"/>
    <mergeCell ref="D432:E432"/>
    <mergeCell ref="A1535:A1536"/>
    <mergeCell ref="A1541:E1541"/>
    <mergeCell ref="A1542:E1542"/>
    <mergeCell ref="A1517:E1517"/>
    <mergeCell ref="A1518:E1518"/>
    <mergeCell ref="A1520:A1526"/>
    <mergeCell ref="A1494:A1500"/>
    <mergeCell ref="A1509:A1510"/>
    <mergeCell ref="I1509:I1510"/>
    <mergeCell ref="A1463:E1463"/>
    <mergeCell ref="A1464:E1464"/>
    <mergeCell ref="A1466:A1472"/>
    <mergeCell ref="A1479:A1480"/>
    <mergeCell ref="A1491:E1491"/>
    <mergeCell ref="A1492:E1492"/>
    <mergeCell ref="I1491:M1491"/>
    <mergeCell ref="I1494:I1500"/>
    <mergeCell ref="I1440:M1440"/>
    <mergeCell ref="A1438:A1444"/>
    <mergeCell ref="I1442:I1448"/>
    <mergeCell ref="I1455:I1456"/>
    <mergeCell ref="A1454:A1456"/>
    <mergeCell ref="I1459:I1460"/>
    <mergeCell ref="A1412:A1418"/>
    <mergeCell ref="I1415:I1421"/>
    <mergeCell ref="A1428:A1429"/>
    <mergeCell ref="I1431:I1432"/>
    <mergeCell ref="A1435:E1435"/>
    <mergeCell ref="I1439:M1439"/>
    <mergeCell ref="A1400:A1401"/>
    <mergeCell ref="I1403:I1404"/>
    <mergeCell ref="A1409:E1409"/>
    <mergeCell ref="I1412:M1412"/>
    <mergeCell ref="A1410:E1410"/>
    <mergeCell ref="I1413:M1413"/>
    <mergeCell ref="A1381:E1381"/>
    <mergeCell ref="I1384:M1384"/>
    <mergeCell ref="A1382:E1382"/>
    <mergeCell ref="I1385:M1385"/>
    <mergeCell ref="A1384:A1390"/>
    <mergeCell ref="I1387:I1393"/>
    <mergeCell ref="A1354:E1354"/>
    <mergeCell ref="I1357:M1357"/>
    <mergeCell ref="A1356:A1362"/>
    <mergeCell ref="I1359:I1365"/>
    <mergeCell ref="A1372:A1373"/>
    <mergeCell ref="I1375:I1376"/>
    <mergeCell ref="I1330:I1336"/>
    <mergeCell ref="A1328:A1334"/>
    <mergeCell ref="I1346:I1347"/>
    <mergeCell ref="A1344:A1345"/>
    <mergeCell ref="A1353:E1353"/>
    <mergeCell ref="I1356:M1356"/>
    <mergeCell ref="A1316:A1318"/>
    <mergeCell ref="I1319:I1321"/>
    <mergeCell ref="I1327:M1327"/>
    <mergeCell ref="A1325:E1325"/>
    <mergeCell ref="I1328:M1328"/>
    <mergeCell ref="A1326:E1326"/>
    <mergeCell ref="A1297:E1297"/>
    <mergeCell ref="I1300:M1300"/>
    <mergeCell ref="A1298:E1298"/>
    <mergeCell ref="I1301:M1301"/>
    <mergeCell ref="A1300:A1306"/>
    <mergeCell ref="I1303:I1309"/>
    <mergeCell ref="A1271:E1271"/>
    <mergeCell ref="I1274:M1274"/>
    <mergeCell ref="A1273:A1279"/>
    <mergeCell ref="I1276:I1282"/>
    <mergeCell ref="A1289:A1290"/>
    <mergeCell ref="I1292:I1293"/>
    <mergeCell ref="A1247:A1253"/>
    <mergeCell ref="I1250:I1256"/>
    <mergeCell ref="A1263:A1264"/>
    <mergeCell ref="I1266:I1267"/>
    <mergeCell ref="A1270:E1270"/>
    <mergeCell ref="I1273:M1273"/>
    <mergeCell ref="A1236:A1237"/>
    <mergeCell ref="I1239:I1240"/>
    <mergeCell ref="A1244:E1244"/>
    <mergeCell ref="I1247:M1247"/>
    <mergeCell ref="A1245:E1245"/>
    <mergeCell ref="I1248:M1248"/>
    <mergeCell ref="A1217:E1217"/>
    <mergeCell ref="I1220:M1220"/>
    <mergeCell ref="A1218:E1218"/>
    <mergeCell ref="I1221:M1221"/>
    <mergeCell ref="A1220:A1226"/>
    <mergeCell ref="I1223:I1229"/>
    <mergeCell ref="A1193:E1193"/>
    <mergeCell ref="I1196:M1196"/>
    <mergeCell ref="A1195:A1201"/>
    <mergeCell ref="I1198:I1204"/>
    <mergeCell ref="A1210:A1211"/>
    <mergeCell ref="I1213:I1214"/>
    <mergeCell ref="A1184:A1185"/>
    <mergeCell ref="I1187:I1188"/>
    <mergeCell ref="A1190:E1190"/>
    <mergeCell ref="A1191:E1191"/>
    <mergeCell ref="A1192:E1192"/>
    <mergeCell ref="I1195:M1195"/>
    <mergeCell ref="A1166:E1166"/>
    <mergeCell ref="I1169:M1169"/>
    <mergeCell ref="A1167:E1167"/>
    <mergeCell ref="I1170:M1170"/>
    <mergeCell ref="A1169:A1175"/>
    <mergeCell ref="I1172:I1178"/>
    <mergeCell ref="A1141:E1141"/>
    <mergeCell ref="I1144:M1144"/>
    <mergeCell ref="A1143:A1149"/>
    <mergeCell ref="I1146:I1152"/>
    <mergeCell ref="A1157:A1158"/>
    <mergeCell ref="I1160:I1161"/>
    <mergeCell ref="A1118:A1124"/>
    <mergeCell ref="I1120:I1126"/>
    <mergeCell ref="A1131:A1132"/>
    <mergeCell ref="I1134:I1135"/>
    <mergeCell ref="A1140:E1140"/>
    <mergeCell ref="I1143:M1143"/>
    <mergeCell ref="A1107:A1108"/>
    <mergeCell ref="I1109:I1110"/>
    <mergeCell ref="A1115:E1115"/>
    <mergeCell ref="I1117:M1117"/>
    <mergeCell ref="A1116:E1116"/>
    <mergeCell ref="I1118:M1118"/>
    <mergeCell ref="A1091:E1091"/>
    <mergeCell ref="I1093:M1093"/>
    <mergeCell ref="A1092:E1092"/>
    <mergeCell ref="I1094:M1094"/>
    <mergeCell ref="A1094:A1100"/>
    <mergeCell ref="I1096:I1102"/>
    <mergeCell ref="A1067:E1067"/>
    <mergeCell ref="I1067:M1067"/>
    <mergeCell ref="A1069:A1075"/>
    <mergeCell ref="I1069:I1075"/>
    <mergeCell ref="I1084:I1085"/>
    <mergeCell ref="A1084:A1085"/>
    <mergeCell ref="A1045:A1051"/>
    <mergeCell ref="I1045:I1051"/>
    <mergeCell ref="A1058:A1059"/>
    <mergeCell ref="I1060:I1061"/>
    <mergeCell ref="A1066:E1066"/>
    <mergeCell ref="I1066:M1066"/>
    <mergeCell ref="A1036:A1037"/>
    <mergeCell ref="I1036:I1037"/>
    <mergeCell ref="A1042:E1042"/>
    <mergeCell ref="I1042:M1042"/>
    <mergeCell ref="A1043:E1043"/>
    <mergeCell ref="I1043:M1043"/>
    <mergeCell ref="A1020:E1020"/>
    <mergeCell ref="I1020:M1020"/>
    <mergeCell ref="A1021:E1021"/>
    <mergeCell ref="I1021:M1021"/>
    <mergeCell ref="A1023:A1029"/>
    <mergeCell ref="I1023:I1029"/>
    <mergeCell ref="A998:E998"/>
    <mergeCell ref="I998:M998"/>
    <mergeCell ref="A1000:A1006"/>
    <mergeCell ref="I1000:I1006"/>
    <mergeCell ref="A1013:A1014"/>
    <mergeCell ref="I1013:I1014"/>
    <mergeCell ref="I975:M975"/>
    <mergeCell ref="A976:A982"/>
    <mergeCell ref="I977:I983"/>
    <mergeCell ref="A989:A990"/>
    <mergeCell ref="I990:I991"/>
    <mergeCell ref="A997:E997"/>
    <mergeCell ref="I997:M997"/>
    <mergeCell ref="A952:A958"/>
    <mergeCell ref="I952:I958"/>
    <mergeCell ref="A965:A966"/>
    <mergeCell ref="I965:I966"/>
    <mergeCell ref="A973:E973"/>
    <mergeCell ref="A974:E974"/>
    <mergeCell ref="I974:M974"/>
    <mergeCell ref="A928:A934"/>
    <mergeCell ref="I928:I933"/>
    <mergeCell ref="A941:A942"/>
    <mergeCell ref="A949:E949"/>
    <mergeCell ref="I949:M949"/>
    <mergeCell ref="A950:E950"/>
    <mergeCell ref="I950:M950"/>
    <mergeCell ref="A905:A910"/>
    <mergeCell ref="I906:I911"/>
    <mergeCell ref="A925:E925"/>
    <mergeCell ref="I925:M925"/>
    <mergeCell ref="A926:E926"/>
    <mergeCell ref="I926:M926"/>
    <mergeCell ref="A882:A887"/>
    <mergeCell ref="I882:I887"/>
    <mergeCell ref="A902:E902"/>
    <mergeCell ref="A903:E903"/>
    <mergeCell ref="I903:M903"/>
    <mergeCell ref="I904:M904"/>
    <mergeCell ref="A871:A872"/>
    <mergeCell ref="I871:I872"/>
    <mergeCell ref="A879:E879"/>
    <mergeCell ref="I879:M879"/>
    <mergeCell ref="A880:E880"/>
    <mergeCell ref="I880:M880"/>
    <mergeCell ref="A855:E855"/>
    <mergeCell ref="I855:M855"/>
    <mergeCell ref="A856:E856"/>
    <mergeCell ref="I856:M856"/>
    <mergeCell ref="A858:A864"/>
    <mergeCell ref="I858:I864"/>
    <mergeCell ref="A832:E832"/>
    <mergeCell ref="I832:M832"/>
    <mergeCell ref="A834:A840"/>
    <mergeCell ref="I834:I840"/>
    <mergeCell ref="A847:A848"/>
    <mergeCell ref="I847:I848"/>
    <mergeCell ref="A811:A817"/>
    <mergeCell ref="I811:I817"/>
    <mergeCell ref="A824:A825"/>
    <mergeCell ref="I824:I825"/>
    <mergeCell ref="A831:E831"/>
    <mergeCell ref="I831:M831"/>
    <mergeCell ref="A800:A801"/>
    <mergeCell ref="I800:I801"/>
    <mergeCell ref="A808:E808"/>
    <mergeCell ref="I808:M808"/>
    <mergeCell ref="A809:E809"/>
    <mergeCell ref="I809:M809"/>
    <mergeCell ref="A784:E784"/>
    <mergeCell ref="I784:M784"/>
    <mergeCell ref="A785:E785"/>
    <mergeCell ref="I785:M785"/>
    <mergeCell ref="A787:A793"/>
    <mergeCell ref="I787:I793"/>
    <mergeCell ref="I751:I752"/>
    <mergeCell ref="A759:E759"/>
    <mergeCell ref="I759:M759"/>
    <mergeCell ref="A760:E760"/>
    <mergeCell ref="I760:M760"/>
    <mergeCell ref="A762:A767"/>
    <mergeCell ref="I762:I767"/>
    <mergeCell ref="A735:E735"/>
    <mergeCell ref="I735:M735"/>
    <mergeCell ref="A736:E736"/>
    <mergeCell ref="I736:M736"/>
    <mergeCell ref="A738:A743"/>
    <mergeCell ref="I738:I744"/>
    <mergeCell ref="A712:E712"/>
    <mergeCell ref="I712:M712"/>
    <mergeCell ref="A714:A720"/>
    <mergeCell ref="I714:I720"/>
    <mergeCell ref="A727:A728"/>
    <mergeCell ref="I727:I728"/>
    <mergeCell ref="A691:E691"/>
    <mergeCell ref="I691:M691"/>
    <mergeCell ref="A693:A698"/>
    <mergeCell ref="I693:I698"/>
    <mergeCell ref="A711:E711"/>
    <mergeCell ref="I711:M711"/>
    <mergeCell ref="A666:E666"/>
    <mergeCell ref="I666:M666"/>
    <mergeCell ref="A668:A673"/>
    <mergeCell ref="I668:I673"/>
    <mergeCell ref="A690:E690"/>
    <mergeCell ref="I690:M690"/>
    <mergeCell ref="A643:E643"/>
    <mergeCell ref="I643:M643"/>
    <mergeCell ref="A645:A650"/>
    <mergeCell ref="I645:I650"/>
    <mergeCell ref="A665:E665"/>
    <mergeCell ref="I665:M665"/>
    <mergeCell ref="A618:E618"/>
    <mergeCell ref="I618:M618"/>
    <mergeCell ref="A620:A625"/>
    <mergeCell ref="I620:I625"/>
    <mergeCell ref="A642:E642"/>
    <mergeCell ref="I642:M642"/>
    <mergeCell ref="I594:I600"/>
    <mergeCell ref="A595:A601"/>
    <mergeCell ref="I607:I608"/>
    <mergeCell ref="A608:A609"/>
    <mergeCell ref="A617:E617"/>
    <mergeCell ref="I617:M617"/>
    <mergeCell ref="A571:A576"/>
    <mergeCell ref="I571:I576"/>
    <mergeCell ref="I591:M591"/>
    <mergeCell ref="A592:E592"/>
    <mergeCell ref="I592:M592"/>
    <mergeCell ref="A593:E593"/>
    <mergeCell ref="A560:A561"/>
    <mergeCell ref="I562:I563"/>
    <mergeCell ref="A568:E568"/>
    <mergeCell ref="I568:M568"/>
    <mergeCell ref="A569:E569"/>
    <mergeCell ref="I569:M569"/>
    <mergeCell ref="I539:I540"/>
    <mergeCell ref="A545:E545"/>
    <mergeCell ref="A546:E546"/>
    <mergeCell ref="I547:M547"/>
    <mergeCell ref="A548:A553"/>
    <mergeCell ref="I548:M548"/>
    <mergeCell ref="I550:I555"/>
    <mergeCell ref="A523:E523"/>
    <mergeCell ref="A524:E524"/>
    <mergeCell ref="I524:M524"/>
    <mergeCell ref="I525:M525"/>
    <mergeCell ref="A526:A531"/>
    <mergeCell ref="I527:I532"/>
    <mergeCell ref="A501:E501"/>
    <mergeCell ref="I501:M501"/>
    <mergeCell ref="A502:E502"/>
    <mergeCell ref="I502:M502"/>
    <mergeCell ref="A504:A509"/>
    <mergeCell ref="I504:I509"/>
    <mergeCell ref="A458:A463"/>
    <mergeCell ref="I458:I463"/>
    <mergeCell ref="A470:A471"/>
    <mergeCell ref="A479:E479"/>
    <mergeCell ref="A480:E480"/>
    <mergeCell ref="A482:A487"/>
    <mergeCell ref="A447:A448"/>
    <mergeCell ref="I447:I448"/>
    <mergeCell ref="A455:E455"/>
    <mergeCell ref="I455:M455"/>
    <mergeCell ref="A456:E456"/>
    <mergeCell ref="I456:M456"/>
    <mergeCell ref="I432:M432"/>
    <mergeCell ref="A433:E433"/>
    <mergeCell ref="I433:M433"/>
    <mergeCell ref="A435:A440"/>
    <mergeCell ref="I435:I440"/>
    <mergeCell ref="A432:C432"/>
    <mergeCell ref="A409:E409"/>
    <mergeCell ref="A410:E410"/>
    <mergeCell ref="I410:M410"/>
    <mergeCell ref="I411:M411"/>
    <mergeCell ref="A413:A414"/>
    <mergeCell ref="I413:I418"/>
    <mergeCell ref="I386:M386"/>
    <mergeCell ref="A387:E387"/>
    <mergeCell ref="I387:M387"/>
    <mergeCell ref="A389:A394"/>
    <mergeCell ref="I389:I394"/>
    <mergeCell ref="A365:E365"/>
    <mergeCell ref="A366:E366"/>
    <mergeCell ref="I366:M366"/>
    <mergeCell ref="A368:A373"/>
    <mergeCell ref="I368:I373"/>
    <mergeCell ref="A343:E343"/>
    <mergeCell ref="I343:M343"/>
    <mergeCell ref="A344:E344"/>
    <mergeCell ref="I344:M344"/>
    <mergeCell ref="A346:A351"/>
    <mergeCell ref="I346:I351"/>
    <mergeCell ref="A300:E300"/>
    <mergeCell ref="A301:E301"/>
    <mergeCell ref="A303:A308"/>
    <mergeCell ref="A321:E321"/>
    <mergeCell ref="A322:E322"/>
    <mergeCell ref="A324:A329"/>
    <mergeCell ref="A250:E250"/>
    <mergeCell ref="A251:E251"/>
    <mergeCell ref="A253:A258"/>
    <mergeCell ref="A277:E277"/>
    <mergeCell ref="A278:E278"/>
    <mergeCell ref="A280:A285"/>
    <mergeCell ref="A193:A197"/>
    <mergeCell ref="A210:E210"/>
    <mergeCell ref="A213:A217"/>
    <mergeCell ref="A228:E228"/>
    <mergeCell ref="A229:E229"/>
    <mergeCell ref="A231:A235"/>
    <mergeCell ref="A133:A135"/>
    <mergeCell ref="A150:E150"/>
    <mergeCell ref="A153:A155"/>
    <mergeCell ref="A168:E168"/>
    <mergeCell ref="A171:A175"/>
    <mergeCell ref="A190:E190"/>
    <mergeCell ref="A97:A98"/>
    <mergeCell ref="A99:A100"/>
    <mergeCell ref="A110:E110"/>
    <mergeCell ref="A113:A116"/>
    <mergeCell ref="A130:E130"/>
    <mergeCell ref="A59:A62"/>
    <mergeCell ref="A75:E75"/>
    <mergeCell ref="H75:I75"/>
    <mergeCell ref="A78:A81"/>
    <mergeCell ref="A94:E94"/>
    <mergeCell ref="H94:I94"/>
    <mergeCell ref="O39:P39"/>
    <mergeCell ref="H41:I41"/>
    <mergeCell ref="A42:A43"/>
    <mergeCell ref="A44:A45"/>
    <mergeCell ref="A56:E56"/>
    <mergeCell ref="H56:I56"/>
    <mergeCell ref="K23:L23"/>
    <mergeCell ref="A24:A26"/>
    <mergeCell ref="A39:E39"/>
    <mergeCell ref="H39:I39"/>
    <mergeCell ref="K39:L39"/>
    <mergeCell ref="M39:N39"/>
    <mergeCell ref="A1:E1"/>
    <mergeCell ref="H1:I1"/>
    <mergeCell ref="K1:L1"/>
    <mergeCell ref="A4:A5"/>
    <mergeCell ref="A21:E21"/>
    <mergeCell ref="H22:I2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BA68C-553F-4668-AF68-1029E4DBF613}">
  <dimension ref="A2:AP158"/>
  <sheetViews>
    <sheetView rightToLeft="1" tabSelected="1" topLeftCell="D118" zoomScale="70" zoomScaleNormal="70" workbookViewId="0">
      <selection activeCell="O134" sqref="O134"/>
    </sheetView>
  </sheetViews>
  <sheetFormatPr defaultRowHeight="13.8" x14ac:dyDescent="0.25"/>
  <cols>
    <col min="1" max="3" width="15.3984375" customWidth="1"/>
    <col min="4" max="4" width="9.59765625" customWidth="1"/>
    <col min="5" max="5" width="12.19921875" customWidth="1"/>
    <col min="6" max="6" width="14.796875" bestFit="1" customWidth="1"/>
    <col min="7" max="7" width="14.796875" customWidth="1"/>
    <col min="9" max="9" width="11" bestFit="1" customWidth="1"/>
    <col min="10" max="12" width="8.69921875" customWidth="1"/>
    <col min="13" max="14" width="12.19921875" customWidth="1"/>
    <col min="15" max="15" width="10.5" bestFit="1" customWidth="1"/>
    <col min="16" max="16" width="10.5" customWidth="1"/>
    <col min="17" max="17" width="9.8984375" customWidth="1"/>
    <col min="18" max="18" width="9.796875" bestFit="1" customWidth="1"/>
    <col min="19" max="19" width="9.796875" customWidth="1"/>
    <col min="20" max="20" width="13.59765625" bestFit="1" customWidth="1"/>
    <col min="21" max="21" width="15.8984375" bestFit="1" customWidth="1"/>
    <col min="22" max="23" width="15.8984375" customWidth="1"/>
    <col min="24" max="26" width="10.19921875" customWidth="1"/>
    <col min="27" max="27" width="13.19921875" bestFit="1" customWidth="1"/>
    <col min="28" max="28" width="13.19921875" customWidth="1"/>
    <col min="29" max="32" width="13" customWidth="1"/>
    <col min="33" max="35" width="13.19921875" customWidth="1"/>
    <col min="36" max="36" width="11.19921875" customWidth="1"/>
    <col min="37" max="37" width="11.5" customWidth="1"/>
    <col min="38" max="41" width="11.19921875" customWidth="1"/>
    <col min="42" max="42" width="9" style="2" bestFit="1" customWidth="1"/>
  </cols>
  <sheetData>
    <row r="2" spans="1:42" x14ac:dyDescent="0.25">
      <c r="D2" s="104" t="s">
        <v>442</v>
      </c>
      <c r="E2" s="101" t="s">
        <v>439</v>
      </c>
      <c r="F2" s="112" t="s">
        <v>441</v>
      </c>
      <c r="G2" s="113"/>
      <c r="H2" s="117" t="s">
        <v>440</v>
      </c>
      <c r="I2" s="118"/>
      <c r="J2" s="118"/>
      <c r="K2" s="118"/>
      <c r="L2" s="118"/>
      <c r="M2" s="118"/>
      <c r="N2" s="119"/>
      <c r="O2" s="120" t="s">
        <v>438</v>
      </c>
      <c r="P2" s="121"/>
      <c r="Q2" s="106" t="s">
        <v>443</v>
      </c>
      <c r="R2" s="107"/>
      <c r="S2" s="107"/>
      <c r="T2" s="108"/>
      <c r="U2" s="115" t="s">
        <v>445</v>
      </c>
      <c r="V2" s="116"/>
      <c r="W2" s="122" t="s">
        <v>444</v>
      </c>
      <c r="X2" s="133"/>
      <c r="Y2" s="133"/>
      <c r="Z2" s="137"/>
      <c r="AA2" s="136" t="s">
        <v>437</v>
      </c>
      <c r="AB2" s="114"/>
      <c r="AC2" s="90" t="s">
        <v>446</v>
      </c>
      <c r="AD2" s="91"/>
      <c r="AE2" s="91"/>
      <c r="AF2" s="92"/>
      <c r="AG2" s="93" t="s">
        <v>451</v>
      </c>
      <c r="AH2" s="97"/>
      <c r="AI2" s="94"/>
      <c r="AJ2" s="88" t="s">
        <v>436</v>
      </c>
      <c r="AK2" s="88"/>
      <c r="AL2" s="88"/>
      <c r="AM2" s="88"/>
      <c r="AN2" s="88"/>
      <c r="AO2" s="88"/>
    </row>
    <row r="3" spans="1:42" x14ac:dyDescent="0.25">
      <c r="A3" s="4" t="s">
        <v>382</v>
      </c>
      <c r="B3" s="3" t="s">
        <v>578</v>
      </c>
      <c r="C3" s="3" t="s">
        <v>577</v>
      </c>
      <c r="D3" s="105" t="s">
        <v>389</v>
      </c>
      <c r="E3" s="101" t="s">
        <v>13</v>
      </c>
      <c r="F3" s="98" t="s">
        <v>71</v>
      </c>
      <c r="G3" s="98" t="s">
        <v>485</v>
      </c>
      <c r="H3" s="99" t="s">
        <v>17</v>
      </c>
      <c r="I3" s="99" t="s">
        <v>51</v>
      </c>
      <c r="J3" s="100" t="s">
        <v>52</v>
      </c>
      <c r="K3" s="100" t="s">
        <v>523</v>
      </c>
      <c r="L3" s="100" t="s">
        <v>532</v>
      </c>
      <c r="M3" s="100" t="s">
        <v>543</v>
      </c>
      <c r="N3" s="100" t="s">
        <v>333</v>
      </c>
      <c r="O3" s="102" t="s">
        <v>20</v>
      </c>
      <c r="P3" s="102" t="s">
        <v>526</v>
      </c>
      <c r="Q3" s="87" t="s">
        <v>421</v>
      </c>
      <c r="R3" s="85" t="s">
        <v>24</v>
      </c>
      <c r="S3" s="85" t="s">
        <v>23</v>
      </c>
      <c r="T3" s="85" t="s">
        <v>178</v>
      </c>
      <c r="U3" s="86" t="s">
        <v>390</v>
      </c>
      <c r="V3" s="86" t="s">
        <v>497</v>
      </c>
      <c r="W3" s="83" t="s">
        <v>31</v>
      </c>
      <c r="X3" s="84" t="s">
        <v>30</v>
      </c>
      <c r="Y3" s="123" t="s">
        <v>574</v>
      </c>
      <c r="Z3" s="138" t="s">
        <v>585</v>
      </c>
      <c r="AA3" s="124" t="s">
        <v>419</v>
      </c>
      <c r="AB3" s="103" t="s">
        <v>495</v>
      </c>
      <c r="AC3" s="82" t="s">
        <v>32</v>
      </c>
      <c r="AD3" s="82" t="s">
        <v>435</v>
      </c>
      <c r="AE3" s="82" t="s">
        <v>456</v>
      </c>
      <c r="AF3" s="82" t="s">
        <v>458</v>
      </c>
      <c r="AG3" s="95" t="s">
        <v>450</v>
      </c>
      <c r="AH3" s="95" t="s">
        <v>152</v>
      </c>
      <c r="AI3" s="95" t="s">
        <v>467</v>
      </c>
      <c r="AJ3" s="81" t="s">
        <v>35</v>
      </c>
      <c r="AK3" s="81" t="s">
        <v>117</v>
      </c>
      <c r="AL3" s="81" t="s">
        <v>66</v>
      </c>
      <c r="AM3" s="81" t="s">
        <v>110</v>
      </c>
      <c r="AN3" s="81" t="s">
        <v>153</v>
      </c>
      <c r="AO3" s="81" t="s">
        <v>111</v>
      </c>
      <c r="AP3" s="4" t="s">
        <v>393</v>
      </c>
    </row>
    <row r="4" spans="1:42" x14ac:dyDescent="0.25">
      <c r="A4" s="4" t="s">
        <v>391</v>
      </c>
      <c r="B4" s="4" t="s">
        <v>579</v>
      </c>
      <c r="C4" s="4" t="s">
        <v>557</v>
      </c>
      <c r="D4" s="5">
        <v>0.19040000000000001</v>
      </c>
      <c r="E4" s="5">
        <v>2E-3</v>
      </c>
      <c r="F4" s="5">
        <v>0</v>
      </c>
      <c r="G4" s="5">
        <v>0</v>
      </c>
      <c r="H4" s="5">
        <v>2E-3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3.0000000000000001E-3</v>
      </c>
      <c r="P4" s="5">
        <v>0</v>
      </c>
      <c r="Q4" s="5">
        <v>0</v>
      </c>
      <c r="R4" s="5">
        <v>0.1057</v>
      </c>
      <c r="S4" s="5">
        <v>0</v>
      </c>
      <c r="T4" s="5">
        <v>0</v>
      </c>
      <c r="U4" s="5">
        <v>0.1057</v>
      </c>
      <c r="V4" s="5">
        <v>0</v>
      </c>
      <c r="W4" s="5">
        <v>0.1057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0.2742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0.2114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45">
        <f>SUM(D4:AO4)</f>
        <v>1.0001</v>
      </c>
    </row>
    <row r="5" spans="1:42" x14ac:dyDescent="0.25">
      <c r="A5" s="4" t="s">
        <v>392</v>
      </c>
      <c r="B5" s="4" t="s">
        <v>579</v>
      </c>
      <c r="C5" s="4" t="s">
        <v>557</v>
      </c>
      <c r="D5" s="5">
        <v>0.1908</v>
      </c>
      <c r="E5" s="5">
        <v>2E-3</v>
      </c>
      <c r="F5" s="5">
        <v>0</v>
      </c>
      <c r="G5" s="5">
        <v>0</v>
      </c>
      <c r="H5" s="5">
        <v>1.6000000000000001E-3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3.0000000000000001E-3</v>
      </c>
      <c r="P5" s="5">
        <v>0</v>
      </c>
      <c r="Q5" s="5">
        <v>0</v>
      </c>
      <c r="R5" s="5">
        <v>0.1057</v>
      </c>
      <c r="S5" s="5">
        <v>0</v>
      </c>
      <c r="T5" s="5">
        <v>0</v>
      </c>
      <c r="U5" s="5">
        <v>0.1057</v>
      </c>
      <c r="V5" s="5">
        <v>0</v>
      </c>
      <c r="W5" s="5">
        <v>0</v>
      </c>
      <c r="X5" s="5">
        <v>0.1057</v>
      </c>
      <c r="Y5" s="5">
        <v>0</v>
      </c>
      <c r="Z5" s="5">
        <v>0</v>
      </c>
      <c r="AA5" s="5">
        <v>0</v>
      </c>
      <c r="AB5" s="5">
        <v>0</v>
      </c>
      <c r="AC5" s="5">
        <v>0.2742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0.2114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45">
        <f t="shared" ref="AP5:AP69" si="0">SUM(D5:AO5)</f>
        <v>1.0001</v>
      </c>
    </row>
    <row r="6" spans="1:42" x14ac:dyDescent="0.25">
      <c r="A6" s="4" t="s">
        <v>384</v>
      </c>
      <c r="B6" s="4" t="s">
        <v>579</v>
      </c>
      <c r="C6" s="4" t="s">
        <v>557</v>
      </c>
      <c r="D6" s="5">
        <v>0.188</v>
      </c>
      <c r="E6" s="5">
        <v>1.6000000000000001E-3</v>
      </c>
      <c r="F6" s="5">
        <v>0</v>
      </c>
      <c r="G6" s="5">
        <v>0</v>
      </c>
      <c r="H6" s="45">
        <v>0</v>
      </c>
      <c r="I6" s="5">
        <v>1E-3</v>
      </c>
      <c r="J6" s="5">
        <v>3.0000000000000001E-3</v>
      </c>
      <c r="K6" s="5">
        <v>0</v>
      </c>
      <c r="L6" s="5">
        <v>0</v>
      </c>
      <c r="M6" s="5">
        <v>0</v>
      </c>
      <c r="N6" s="5">
        <v>0</v>
      </c>
      <c r="O6" s="5">
        <v>3.0000000000000001E-3</v>
      </c>
      <c r="P6" s="5">
        <v>0</v>
      </c>
      <c r="Q6" s="5">
        <v>0</v>
      </c>
      <c r="R6" s="5">
        <v>0</v>
      </c>
      <c r="S6" s="5">
        <v>0.10580000000000001</v>
      </c>
      <c r="T6" s="5">
        <v>0</v>
      </c>
      <c r="U6" s="5">
        <v>0.10580000000000001</v>
      </c>
      <c r="V6" s="5">
        <v>0</v>
      </c>
      <c r="W6" s="5">
        <v>0</v>
      </c>
      <c r="X6" s="5">
        <v>0.10580000000000001</v>
      </c>
      <c r="Y6" s="5">
        <v>0</v>
      </c>
      <c r="Z6" s="5">
        <v>0</v>
      </c>
      <c r="AA6" s="5">
        <v>0</v>
      </c>
      <c r="AB6" s="5">
        <v>0</v>
      </c>
      <c r="AC6" s="5">
        <v>0.27450000000000002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0.21160000000000001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45">
        <f t="shared" si="0"/>
        <v>1.0001</v>
      </c>
    </row>
    <row r="7" spans="1:42" x14ac:dyDescent="0.25">
      <c r="A7" s="4" t="s">
        <v>394</v>
      </c>
      <c r="B7" s="4" t="s">
        <v>582</v>
      </c>
      <c r="C7" s="4" t="s">
        <v>557</v>
      </c>
      <c r="D7" s="5">
        <v>0.188</v>
      </c>
      <c r="E7" s="5">
        <v>1.6000000000000001E-3</v>
      </c>
      <c r="F7" s="5">
        <v>0</v>
      </c>
      <c r="G7" s="5">
        <v>0</v>
      </c>
      <c r="H7" s="5">
        <v>0</v>
      </c>
      <c r="I7" s="5">
        <v>1E-3</v>
      </c>
      <c r="J7" s="5">
        <v>3.0000000000000001E-3</v>
      </c>
      <c r="K7" s="5">
        <v>0</v>
      </c>
      <c r="L7" s="5">
        <v>0</v>
      </c>
      <c r="M7" s="5">
        <v>0</v>
      </c>
      <c r="N7" s="5">
        <v>0</v>
      </c>
      <c r="O7" s="5">
        <v>3.0000000000000001E-3</v>
      </c>
      <c r="P7" s="5">
        <v>0</v>
      </c>
      <c r="Q7" s="5">
        <v>0</v>
      </c>
      <c r="R7" s="5">
        <v>0</v>
      </c>
      <c r="S7" s="5">
        <v>0.10580000000000001</v>
      </c>
      <c r="T7" s="5">
        <v>0</v>
      </c>
      <c r="U7" s="5">
        <v>0.10580000000000001</v>
      </c>
      <c r="V7" s="5">
        <v>0</v>
      </c>
      <c r="W7" s="5">
        <v>0</v>
      </c>
      <c r="X7" s="5">
        <v>0.10580000000000001</v>
      </c>
      <c r="Y7" s="5">
        <v>0</v>
      </c>
      <c r="Z7" s="5">
        <v>0</v>
      </c>
      <c r="AA7" s="5">
        <v>0</v>
      </c>
      <c r="AB7" s="5">
        <v>0</v>
      </c>
      <c r="AC7" s="5">
        <v>0.27450000000000002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0.21160000000000001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45">
        <f t="shared" si="0"/>
        <v>1.0001</v>
      </c>
    </row>
    <row r="8" spans="1:42" x14ac:dyDescent="0.25">
      <c r="A8" s="4" t="s">
        <v>395</v>
      </c>
      <c r="B8" s="4" t="s">
        <v>582</v>
      </c>
      <c r="C8" s="4" t="s">
        <v>557</v>
      </c>
      <c r="D8" s="5">
        <v>0.188</v>
      </c>
      <c r="E8" s="5">
        <v>1.6000000000000001E-3</v>
      </c>
      <c r="F8" s="5">
        <v>0</v>
      </c>
      <c r="G8" s="5">
        <v>0</v>
      </c>
      <c r="H8" s="5">
        <v>0</v>
      </c>
      <c r="I8" s="5">
        <v>1E-3</v>
      </c>
      <c r="J8" s="5">
        <v>3.0000000000000001E-3</v>
      </c>
      <c r="K8" s="5">
        <v>0</v>
      </c>
      <c r="L8" s="5">
        <v>0</v>
      </c>
      <c r="M8" s="5">
        <v>0</v>
      </c>
      <c r="N8" s="5">
        <v>0</v>
      </c>
      <c r="O8" s="5">
        <v>3.0000000000000001E-3</v>
      </c>
      <c r="P8" s="5">
        <v>0</v>
      </c>
      <c r="Q8" s="5">
        <v>0</v>
      </c>
      <c r="R8" s="5">
        <v>0</v>
      </c>
      <c r="S8" s="5">
        <v>0.10580000000000001</v>
      </c>
      <c r="T8" s="5">
        <v>0</v>
      </c>
      <c r="U8" s="5">
        <v>0.10580000000000001</v>
      </c>
      <c r="V8" s="5">
        <v>0</v>
      </c>
      <c r="W8" s="5">
        <v>0</v>
      </c>
      <c r="X8" s="5">
        <v>0.10580000000000001</v>
      </c>
      <c r="Y8" s="5">
        <v>0</v>
      </c>
      <c r="Z8" s="5">
        <v>0</v>
      </c>
      <c r="AA8" s="5">
        <v>0</v>
      </c>
      <c r="AB8" s="5">
        <v>0</v>
      </c>
      <c r="AC8" s="5">
        <v>0.27450000000000002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0.21160000000000001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45">
        <f t="shared" si="0"/>
        <v>1.0001</v>
      </c>
    </row>
    <row r="9" spans="1:42" x14ac:dyDescent="0.25">
      <c r="A9" s="4" t="s">
        <v>595</v>
      </c>
      <c r="B9" s="4" t="s">
        <v>579</v>
      </c>
      <c r="C9" s="4" t="s">
        <v>557</v>
      </c>
      <c r="D9" s="5">
        <v>0.188</v>
      </c>
      <c r="E9" s="5">
        <v>1.6000000000000001E-3</v>
      </c>
      <c r="F9" s="5">
        <v>0</v>
      </c>
      <c r="G9" s="5">
        <v>0</v>
      </c>
      <c r="H9" s="5">
        <v>0</v>
      </c>
      <c r="I9" s="5">
        <v>1E-3</v>
      </c>
      <c r="J9" s="5">
        <v>3.0000000000000001E-3</v>
      </c>
      <c r="K9" s="5">
        <v>0</v>
      </c>
      <c r="L9" s="5">
        <v>0</v>
      </c>
      <c r="M9" s="5">
        <v>0</v>
      </c>
      <c r="N9" s="5">
        <v>0</v>
      </c>
      <c r="O9" s="5">
        <v>3.0000000000000001E-3</v>
      </c>
      <c r="P9" s="5">
        <v>0</v>
      </c>
      <c r="Q9" s="5">
        <v>0</v>
      </c>
      <c r="R9" s="5">
        <v>0</v>
      </c>
      <c r="S9" s="5">
        <v>0.10580000000000001</v>
      </c>
      <c r="T9" s="5">
        <v>0</v>
      </c>
      <c r="U9" s="5">
        <v>0.10580000000000001</v>
      </c>
      <c r="V9" s="5">
        <v>0</v>
      </c>
      <c r="W9" s="5">
        <v>0</v>
      </c>
      <c r="X9" s="5">
        <v>0.10580000000000001</v>
      </c>
      <c r="Y9" s="5">
        <v>0</v>
      </c>
      <c r="Z9" s="5">
        <v>0</v>
      </c>
      <c r="AA9" s="5">
        <v>0</v>
      </c>
      <c r="AB9" s="5">
        <v>0</v>
      </c>
      <c r="AC9" s="5">
        <v>0.27450000000000002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0.21160000000000001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45">
        <f t="shared" si="0"/>
        <v>1.0001</v>
      </c>
    </row>
    <row r="10" spans="1:42" x14ac:dyDescent="0.25">
      <c r="A10" s="4" t="s">
        <v>417</v>
      </c>
      <c r="B10" s="4" t="s">
        <v>579</v>
      </c>
      <c r="C10" s="4" t="s">
        <v>557</v>
      </c>
      <c r="D10" s="5">
        <v>0.188</v>
      </c>
      <c r="E10" s="5">
        <v>1.6000000000000001E-3</v>
      </c>
      <c r="F10" s="5">
        <v>0</v>
      </c>
      <c r="G10" s="5">
        <v>0</v>
      </c>
      <c r="H10" s="5">
        <v>0</v>
      </c>
      <c r="I10" s="5">
        <v>1E-3</v>
      </c>
      <c r="J10" s="5">
        <v>3.0000000000000001E-3</v>
      </c>
      <c r="K10" s="5">
        <v>0</v>
      </c>
      <c r="L10" s="5">
        <v>0</v>
      </c>
      <c r="M10" s="5">
        <v>0</v>
      </c>
      <c r="N10" s="5">
        <v>0</v>
      </c>
      <c r="O10" s="5">
        <v>3.0000000000000001E-3</v>
      </c>
      <c r="P10" s="5">
        <v>0</v>
      </c>
      <c r="Q10" s="5">
        <v>0</v>
      </c>
      <c r="R10" s="5">
        <v>0</v>
      </c>
      <c r="S10" s="5">
        <v>0.10580000000000001</v>
      </c>
      <c r="T10" s="5">
        <v>0</v>
      </c>
      <c r="U10" s="5">
        <v>0.10580000000000001</v>
      </c>
      <c r="V10" s="5">
        <v>0</v>
      </c>
      <c r="W10" s="5">
        <v>0</v>
      </c>
      <c r="X10" s="5">
        <v>0.10580000000000001</v>
      </c>
      <c r="Y10" s="5">
        <v>0</v>
      </c>
      <c r="Z10" s="5">
        <v>0</v>
      </c>
      <c r="AA10" s="5">
        <v>0</v>
      </c>
      <c r="AB10" s="5">
        <v>0</v>
      </c>
      <c r="AC10" s="5">
        <v>0.27450000000000002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45">
        <v>0</v>
      </c>
      <c r="AK10" s="5">
        <v>0</v>
      </c>
      <c r="AL10" s="5">
        <v>0.21160000000000001</v>
      </c>
      <c r="AM10" s="5">
        <v>0</v>
      </c>
      <c r="AN10" s="5">
        <v>0</v>
      </c>
      <c r="AO10" s="5">
        <v>0</v>
      </c>
      <c r="AP10" s="45">
        <f t="shared" si="0"/>
        <v>1.0001</v>
      </c>
    </row>
    <row r="11" spans="1:42" x14ac:dyDescent="0.25">
      <c r="A11" s="4" t="s">
        <v>418</v>
      </c>
      <c r="B11" s="4" t="s">
        <v>582</v>
      </c>
      <c r="C11" s="4" t="s">
        <v>557</v>
      </c>
      <c r="D11" s="5">
        <v>0.17480000000000001</v>
      </c>
      <c r="E11" s="5">
        <v>1.6000000000000001E-3</v>
      </c>
      <c r="F11" s="5">
        <v>2E-3</v>
      </c>
      <c r="G11" s="5">
        <v>0</v>
      </c>
      <c r="H11" s="5">
        <v>2E-3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3.0000000000000001E-3</v>
      </c>
      <c r="P11" s="5">
        <v>0</v>
      </c>
      <c r="Q11" s="5">
        <v>0</v>
      </c>
      <c r="R11" s="5">
        <v>0.106</v>
      </c>
      <c r="S11" s="5">
        <v>0</v>
      </c>
      <c r="T11" s="5">
        <v>0</v>
      </c>
      <c r="U11" s="5">
        <v>0.106</v>
      </c>
      <c r="V11" s="5">
        <v>0</v>
      </c>
      <c r="W11" s="5">
        <v>0</v>
      </c>
      <c r="X11" s="5">
        <v>0.106</v>
      </c>
      <c r="Y11" s="5">
        <v>0</v>
      </c>
      <c r="Z11" s="5">
        <v>0</v>
      </c>
      <c r="AA11" s="5">
        <v>1.1599999999999999E-2</v>
      </c>
      <c r="AB11" s="5">
        <v>0</v>
      </c>
      <c r="AC11" s="5">
        <v>0.27500000000000002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0.21199999999999999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45">
        <f t="shared" si="0"/>
        <v>0.99999999999999989</v>
      </c>
    </row>
    <row r="12" spans="1:42" x14ac:dyDescent="0.25">
      <c r="A12" s="4" t="s">
        <v>420</v>
      </c>
      <c r="B12" s="4" t="s">
        <v>582</v>
      </c>
      <c r="C12" s="4" t="s">
        <v>557</v>
      </c>
      <c r="D12" s="5">
        <v>0.17480000000000001</v>
      </c>
      <c r="E12" s="5">
        <v>1.6000000000000001E-3</v>
      </c>
      <c r="F12" s="5">
        <v>2E-3</v>
      </c>
      <c r="G12" s="5">
        <v>0</v>
      </c>
      <c r="H12" s="5">
        <v>2E-3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3.0000000000000001E-3</v>
      </c>
      <c r="P12" s="5">
        <v>0</v>
      </c>
      <c r="Q12" s="5">
        <v>0.106</v>
      </c>
      <c r="R12" s="5">
        <v>0</v>
      </c>
      <c r="S12" s="5">
        <v>0</v>
      </c>
      <c r="T12" s="5">
        <v>0</v>
      </c>
      <c r="U12" s="5">
        <v>0.106</v>
      </c>
      <c r="V12" s="5">
        <v>0</v>
      </c>
      <c r="W12" s="5">
        <v>0</v>
      </c>
      <c r="X12" s="5">
        <v>0.106</v>
      </c>
      <c r="Y12" s="5">
        <v>0</v>
      </c>
      <c r="Z12" s="5">
        <v>0</v>
      </c>
      <c r="AA12" s="5">
        <v>1.1599999999999999E-2</v>
      </c>
      <c r="AB12" s="5">
        <v>0</v>
      </c>
      <c r="AC12" s="5">
        <v>0.27500000000000002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0.21199999999999999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45">
        <f t="shared" si="0"/>
        <v>0.99999999999999989</v>
      </c>
    </row>
    <row r="13" spans="1:42" x14ac:dyDescent="0.25">
      <c r="A13" s="4" t="s">
        <v>422</v>
      </c>
      <c r="B13" s="4" t="s">
        <v>582</v>
      </c>
      <c r="C13" s="4" t="s">
        <v>557</v>
      </c>
      <c r="D13" s="5">
        <v>0.17330000000000001</v>
      </c>
      <c r="E13" s="5">
        <v>1.6000000000000001E-3</v>
      </c>
      <c r="F13" s="5">
        <v>2E-3</v>
      </c>
      <c r="G13" s="5">
        <v>0</v>
      </c>
      <c r="H13" s="5">
        <v>0</v>
      </c>
      <c r="I13" s="5">
        <v>1E-3</v>
      </c>
      <c r="J13" s="5">
        <v>2.5000000000000001E-3</v>
      </c>
      <c r="K13" s="5">
        <v>0</v>
      </c>
      <c r="L13" s="5">
        <v>0</v>
      </c>
      <c r="M13" s="5">
        <v>0</v>
      </c>
      <c r="N13" s="5">
        <v>0</v>
      </c>
      <c r="O13" s="5">
        <v>3.0000000000000001E-3</v>
      </c>
      <c r="P13" s="5">
        <v>0</v>
      </c>
      <c r="Q13" s="5">
        <v>0</v>
      </c>
      <c r="R13" s="5">
        <v>0.106</v>
      </c>
      <c r="S13" s="5">
        <v>0</v>
      </c>
      <c r="T13" s="5">
        <v>0</v>
      </c>
      <c r="U13" s="5">
        <v>0.106</v>
      </c>
      <c r="V13" s="5">
        <v>0</v>
      </c>
      <c r="W13" s="5">
        <v>0</v>
      </c>
      <c r="X13" s="5">
        <v>0.106</v>
      </c>
      <c r="Y13" s="5">
        <v>0</v>
      </c>
      <c r="Z13" s="5">
        <v>0</v>
      </c>
      <c r="AA13" s="5">
        <v>1.1599999999999999E-2</v>
      </c>
      <c r="AB13" s="5">
        <v>0</v>
      </c>
      <c r="AC13" s="5">
        <v>0.27500000000000002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0.21199999999999999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5">
        <f t="shared" si="0"/>
        <v>0.99999999999999989</v>
      </c>
    </row>
    <row r="14" spans="1:42" x14ac:dyDescent="0.25">
      <c r="A14" s="4" t="s">
        <v>423</v>
      </c>
      <c r="B14" s="4" t="s">
        <v>582</v>
      </c>
      <c r="C14" s="4" t="s">
        <v>557</v>
      </c>
      <c r="D14" s="5">
        <v>0.17330000000000001</v>
      </c>
      <c r="E14" s="5">
        <v>1.6000000000000001E-3</v>
      </c>
      <c r="F14" s="5">
        <v>2E-3</v>
      </c>
      <c r="G14" s="5">
        <v>0</v>
      </c>
      <c r="H14" s="5">
        <v>0</v>
      </c>
      <c r="I14" s="5">
        <v>1E-3</v>
      </c>
      <c r="J14" s="5">
        <v>2.5000000000000001E-3</v>
      </c>
      <c r="K14" s="5">
        <v>0</v>
      </c>
      <c r="L14" s="5">
        <v>0</v>
      </c>
      <c r="M14" s="5">
        <v>0</v>
      </c>
      <c r="N14" s="5">
        <v>0</v>
      </c>
      <c r="O14" s="5">
        <v>3.0000000000000001E-3</v>
      </c>
      <c r="P14" s="5">
        <v>0</v>
      </c>
      <c r="Q14" s="5">
        <v>0</v>
      </c>
      <c r="R14" s="5">
        <v>0.106</v>
      </c>
      <c r="S14" s="5">
        <v>0</v>
      </c>
      <c r="T14" s="5">
        <v>0</v>
      </c>
      <c r="U14" s="5">
        <v>0.106</v>
      </c>
      <c r="V14" s="5">
        <v>0</v>
      </c>
      <c r="W14" s="5">
        <v>0</v>
      </c>
      <c r="X14" s="5">
        <v>0.106</v>
      </c>
      <c r="Y14" s="5">
        <v>0</v>
      </c>
      <c r="Z14" s="5">
        <v>0</v>
      </c>
      <c r="AA14" s="5">
        <v>1.1599999999999999E-2</v>
      </c>
      <c r="AB14" s="5">
        <v>0</v>
      </c>
      <c r="AC14" s="5">
        <v>0.27500000000000002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0.21199999999999999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5">
        <f t="shared" si="0"/>
        <v>0.99999999999999989</v>
      </c>
    </row>
    <row r="15" spans="1:42" x14ac:dyDescent="0.25">
      <c r="A15" s="11" t="s">
        <v>424</v>
      </c>
      <c r="B15" s="4" t="s">
        <v>582</v>
      </c>
      <c r="C15" s="4" t="s">
        <v>557</v>
      </c>
      <c r="D15" s="78">
        <v>0.17280000000000001</v>
      </c>
      <c r="E15" s="5">
        <v>1.6000000000000001E-3</v>
      </c>
      <c r="F15" s="5">
        <v>2E-3</v>
      </c>
      <c r="G15" s="5">
        <v>0</v>
      </c>
      <c r="H15" s="5">
        <v>0</v>
      </c>
      <c r="I15" s="78">
        <v>1.5E-3</v>
      </c>
      <c r="J15" s="5">
        <v>2.5000000000000001E-3</v>
      </c>
      <c r="K15" s="5">
        <v>0</v>
      </c>
      <c r="L15" s="5">
        <v>0</v>
      </c>
      <c r="M15" s="5">
        <v>0</v>
      </c>
      <c r="N15" s="5">
        <v>0</v>
      </c>
      <c r="O15" s="5">
        <v>3.0000000000000001E-3</v>
      </c>
      <c r="P15" s="5">
        <v>0</v>
      </c>
      <c r="Q15" s="5">
        <v>0</v>
      </c>
      <c r="R15" s="5">
        <v>0.106</v>
      </c>
      <c r="S15" s="5">
        <v>0</v>
      </c>
      <c r="T15" s="5">
        <v>0</v>
      </c>
      <c r="U15" s="5">
        <v>0.106</v>
      </c>
      <c r="V15" s="5">
        <v>0</v>
      </c>
      <c r="W15" s="5">
        <v>0</v>
      </c>
      <c r="X15" s="5">
        <v>0.106</v>
      </c>
      <c r="Y15" s="5">
        <v>0</v>
      </c>
      <c r="Z15" s="5">
        <v>0</v>
      </c>
      <c r="AA15" s="5">
        <v>1.1599999999999999E-2</v>
      </c>
      <c r="AB15" s="5">
        <v>0</v>
      </c>
      <c r="AC15" s="5">
        <v>0.27500000000000002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0.21199999999999999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5">
        <f t="shared" si="0"/>
        <v>0.99999999999999989</v>
      </c>
    </row>
    <row r="16" spans="1:42" x14ac:dyDescent="0.25">
      <c r="A16" s="4" t="s">
        <v>425</v>
      </c>
      <c r="B16" s="4" t="s">
        <v>582</v>
      </c>
      <c r="C16" s="4" t="s">
        <v>557</v>
      </c>
      <c r="D16" s="5">
        <v>0.1731</v>
      </c>
      <c r="E16" s="5">
        <v>1.6000000000000001E-3</v>
      </c>
      <c r="F16" s="5">
        <v>2E-3</v>
      </c>
      <c r="G16" s="5">
        <v>0</v>
      </c>
      <c r="H16" s="5">
        <v>0</v>
      </c>
      <c r="I16" s="5">
        <v>1.1000000000000001E-3</v>
      </c>
      <c r="J16" s="78">
        <v>2.5999999999999999E-3</v>
      </c>
      <c r="K16" s="5">
        <v>0</v>
      </c>
      <c r="L16" s="5">
        <v>0</v>
      </c>
      <c r="M16" s="5">
        <v>0</v>
      </c>
      <c r="N16" s="5">
        <v>0</v>
      </c>
      <c r="O16" s="5">
        <v>3.0000000000000001E-3</v>
      </c>
      <c r="P16" s="5">
        <v>0</v>
      </c>
      <c r="Q16" s="5">
        <v>0</v>
      </c>
      <c r="R16" s="5">
        <v>0.106</v>
      </c>
      <c r="S16" s="5">
        <v>0</v>
      </c>
      <c r="T16" s="5">
        <v>0</v>
      </c>
      <c r="U16" s="5">
        <v>0.106</v>
      </c>
      <c r="V16" s="5">
        <v>0</v>
      </c>
      <c r="W16" s="5">
        <v>0</v>
      </c>
      <c r="X16" s="5">
        <v>0.106</v>
      </c>
      <c r="Y16" s="5">
        <v>0</v>
      </c>
      <c r="Z16" s="5">
        <v>0</v>
      </c>
      <c r="AA16" s="78">
        <v>1.17E-2</v>
      </c>
      <c r="AB16" s="5">
        <v>0</v>
      </c>
      <c r="AC16" s="78">
        <v>0.27489999999999998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0.21199999999999999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5">
        <f t="shared" si="0"/>
        <v>1</v>
      </c>
    </row>
    <row r="17" spans="1:42" x14ac:dyDescent="0.25">
      <c r="A17" s="11" t="s">
        <v>426</v>
      </c>
      <c r="B17" s="4" t="s">
        <v>582</v>
      </c>
      <c r="C17" s="4" t="s">
        <v>557</v>
      </c>
      <c r="D17" s="78">
        <v>0.17330000000000001</v>
      </c>
      <c r="E17" s="5">
        <v>1.6000000000000001E-3</v>
      </c>
      <c r="F17" s="5">
        <v>2E-3</v>
      </c>
      <c r="G17" s="5">
        <v>0</v>
      </c>
      <c r="H17" s="5">
        <v>0</v>
      </c>
      <c r="I17" s="78">
        <v>1E-3</v>
      </c>
      <c r="J17" s="5">
        <v>2.5000000000000001E-3</v>
      </c>
      <c r="K17" s="5">
        <v>0</v>
      </c>
      <c r="L17" s="5">
        <v>0</v>
      </c>
      <c r="M17" s="5">
        <v>0</v>
      </c>
      <c r="N17" s="5">
        <v>0</v>
      </c>
      <c r="O17" s="5">
        <v>1E-3</v>
      </c>
      <c r="P17" s="5">
        <v>0</v>
      </c>
      <c r="Q17" s="5">
        <v>0</v>
      </c>
      <c r="R17" s="5">
        <v>0.106</v>
      </c>
      <c r="S17" s="5">
        <v>0</v>
      </c>
      <c r="T17" s="5">
        <v>0</v>
      </c>
      <c r="U17" s="5">
        <v>0.106</v>
      </c>
      <c r="V17" s="5">
        <v>0</v>
      </c>
      <c r="W17" s="5">
        <v>0</v>
      </c>
      <c r="X17" s="5">
        <v>0.106</v>
      </c>
      <c r="Y17" s="5">
        <v>0</v>
      </c>
      <c r="Z17" s="5">
        <v>0</v>
      </c>
      <c r="AA17" s="78">
        <v>1.17E-2</v>
      </c>
      <c r="AB17" s="5">
        <v>0</v>
      </c>
      <c r="AC17" s="78">
        <v>0.27489999999999998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0.21199999999999999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5">
        <f t="shared" si="0"/>
        <v>0.998</v>
      </c>
    </row>
    <row r="18" spans="1:42" x14ac:dyDescent="0.25">
      <c r="A18" s="80" t="s">
        <v>427</v>
      </c>
      <c r="B18" s="4" t="s">
        <v>582</v>
      </c>
      <c r="C18" s="4" t="s">
        <v>557</v>
      </c>
      <c r="D18" s="5">
        <v>0.17399999999999999</v>
      </c>
      <c r="E18" s="5">
        <v>1.6000000000000001E-3</v>
      </c>
      <c r="F18" s="5">
        <v>2E-3</v>
      </c>
      <c r="G18" s="5">
        <v>0</v>
      </c>
      <c r="H18" s="5">
        <v>0</v>
      </c>
      <c r="I18" s="78">
        <v>8.0000000000000004E-4</v>
      </c>
      <c r="J18" s="78">
        <v>2E-3</v>
      </c>
      <c r="K18" s="5">
        <v>0</v>
      </c>
      <c r="L18" s="5">
        <v>0</v>
      </c>
      <c r="M18" s="5">
        <v>0</v>
      </c>
      <c r="N18" s="5">
        <v>0</v>
      </c>
      <c r="O18" s="78">
        <v>2E-3</v>
      </c>
      <c r="P18" s="5">
        <v>0</v>
      </c>
      <c r="Q18" s="5">
        <v>0</v>
      </c>
      <c r="R18" s="5">
        <v>0.106</v>
      </c>
      <c r="S18" s="5">
        <v>0</v>
      </c>
      <c r="T18" s="5">
        <v>0</v>
      </c>
      <c r="U18" s="5">
        <v>0.106</v>
      </c>
      <c r="V18" s="5">
        <v>0</v>
      </c>
      <c r="W18" s="5">
        <v>0</v>
      </c>
      <c r="X18" s="5">
        <v>0.106</v>
      </c>
      <c r="Y18" s="5">
        <v>0</v>
      </c>
      <c r="Z18" s="5">
        <v>0</v>
      </c>
      <c r="AA18" s="78">
        <v>1.17E-2</v>
      </c>
      <c r="AB18" s="5">
        <v>0</v>
      </c>
      <c r="AC18" s="78">
        <v>0.27489999999999998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0.21199999999999999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5">
        <f t="shared" si="0"/>
        <v>0.99899999999999989</v>
      </c>
    </row>
    <row r="19" spans="1:42" x14ac:dyDescent="0.25">
      <c r="A19" s="80" t="s">
        <v>428</v>
      </c>
      <c r="B19" s="4" t="s">
        <v>582</v>
      </c>
      <c r="C19" s="4" t="s">
        <v>557</v>
      </c>
      <c r="D19" s="5">
        <v>0.17399999999999999</v>
      </c>
      <c r="E19" s="5">
        <v>1.6000000000000001E-3</v>
      </c>
      <c r="F19" s="5">
        <v>2E-3</v>
      </c>
      <c r="G19" s="5">
        <v>0</v>
      </c>
      <c r="H19" s="5">
        <v>0</v>
      </c>
      <c r="I19" s="78">
        <v>8.0000000000000004E-4</v>
      </c>
      <c r="J19" s="78">
        <v>2E-3</v>
      </c>
      <c r="K19" s="5">
        <v>0</v>
      </c>
      <c r="L19" s="5">
        <v>0</v>
      </c>
      <c r="M19" s="5">
        <v>0</v>
      </c>
      <c r="N19" s="5">
        <v>0</v>
      </c>
      <c r="O19" s="78">
        <v>3.0000000000000001E-3</v>
      </c>
      <c r="P19" s="5">
        <v>0</v>
      </c>
      <c r="Q19" s="5">
        <v>0</v>
      </c>
      <c r="R19" s="5">
        <v>0.106</v>
      </c>
      <c r="S19" s="5">
        <v>0</v>
      </c>
      <c r="T19" s="5">
        <v>0</v>
      </c>
      <c r="U19" s="5">
        <v>0.106</v>
      </c>
      <c r="V19" s="5">
        <v>0</v>
      </c>
      <c r="W19" s="5">
        <v>0</v>
      </c>
      <c r="X19" s="5">
        <v>0.106</v>
      </c>
      <c r="Y19" s="5">
        <v>0</v>
      </c>
      <c r="Z19" s="5">
        <v>0</v>
      </c>
      <c r="AA19" s="78">
        <v>1.17E-2</v>
      </c>
      <c r="AB19" s="5">
        <v>0</v>
      </c>
      <c r="AC19" s="78">
        <v>0.27489999999999998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0.21199999999999999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5">
        <f t="shared" si="0"/>
        <v>1</v>
      </c>
    </row>
    <row r="20" spans="1:42" x14ac:dyDescent="0.25">
      <c r="A20" s="80" t="s">
        <v>429</v>
      </c>
      <c r="B20" s="4" t="s">
        <v>582</v>
      </c>
      <c r="C20" s="4" t="s">
        <v>557</v>
      </c>
      <c r="D20" s="5">
        <v>0.17399999999999999</v>
      </c>
      <c r="E20" s="5">
        <v>1.6000000000000001E-3</v>
      </c>
      <c r="F20" s="5">
        <v>2E-3</v>
      </c>
      <c r="G20" s="5">
        <v>0</v>
      </c>
      <c r="H20" s="5">
        <v>0</v>
      </c>
      <c r="I20" s="78">
        <v>8.0000000000000004E-4</v>
      </c>
      <c r="J20" s="78">
        <v>2E-3</v>
      </c>
      <c r="K20" s="5">
        <v>0</v>
      </c>
      <c r="L20" s="5">
        <v>0</v>
      </c>
      <c r="M20" s="5">
        <v>0</v>
      </c>
      <c r="N20" s="5">
        <v>0</v>
      </c>
      <c r="O20" s="78">
        <v>3.0000000000000001E-3</v>
      </c>
      <c r="P20" s="5">
        <v>0</v>
      </c>
      <c r="Q20" s="5">
        <v>0</v>
      </c>
      <c r="R20" s="5">
        <v>0.106</v>
      </c>
      <c r="S20" s="5">
        <v>0</v>
      </c>
      <c r="T20" s="5">
        <v>0</v>
      </c>
      <c r="U20" s="5">
        <v>0.106</v>
      </c>
      <c r="V20" s="5">
        <v>0</v>
      </c>
      <c r="W20" s="5">
        <v>0</v>
      </c>
      <c r="X20" s="5">
        <v>0.106</v>
      </c>
      <c r="Y20" s="5">
        <v>0</v>
      </c>
      <c r="Z20" s="5">
        <v>0</v>
      </c>
      <c r="AA20" s="78">
        <v>1.17E-2</v>
      </c>
      <c r="AB20" s="5">
        <v>0</v>
      </c>
      <c r="AC20" s="78">
        <v>0</v>
      </c>
      <c r="AD20" s="5">
        <v>0</v>
      </c>
      <c r="AE20" s="5">
        <v>0.27489999999999998</v>
      </c>
      <c r="AF20" s="5">
        <v>0</v>
      </c>
      <c r="AG20" s="5">
        <v>0</v>
      </c>
      <c r="AH20" s="5">
        <v>0</v>
      </c>
      <c r="AI20" s="5">
        <v>0</v>
      </c>
      <c r="AJ20" s="5">
        <v>0.21199999999999999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5">
        <f t="shared" si="0"/>
        <v>1</v>
      </c>
    </row>
    <row r="21" spans="1:42" x14ac:dyDescent="0.25">
      <c r="A21" s="11" t="s">
        <v>402</v>
      </c>
      <c r="B21" s="4" t="s">
        <v>582</v>
      </c>
      <c r="C21" s="4" t="s">
        <v>557</v>
      </c>
      <c r="D21" s="78">
        <v>0.17580000000000001</v>
      </c>
      <c r="E21" s="5">
        <v>1.6000000000000001E-3</v>
      </c>
      <c r="F21" s="5">
        <v>2E-3</v>
      </c>
      <c r="G21" s="5">
        <v>0</v>
      </c>
      <c r="H21" s="5">
        <v>0</v>
      </c>
      <c r="I21" s="78">
        <v>1E-3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78">
        <v>3.0000000000000001E-3</v>
      </c>
      <c r="P21" s="5">
        <v>0</v>
      </c>
      <c r="Q21" s="5">
        <v>0</v>
      </c>
      <c r="R21" s="5">
        <v>0.106</v>
      </c>
      <c r="S21" s="5">
        <v>0</v>
      </c>
      <c r="T21" s="5">
        <v>0</v>
      </c>
      <c r="U21" s="5">
        <v>0.106</v>
      </c>
      <c r="V21" s="5">
        <v>0</v>
      </c>
      <c r="W21" s="5">
        <v>0</v>
      </c>
      <c r="X21" s="5">
        <v>0.106</v>
      </c>
      <c r="Y21" s="5">
        <v>0</v>
      </c>
      <c r="Z21" s="5">
        <v>0</v>
      </c>
      <c r="AA21" s="78">
        <v>1.17E-2</v>
      </c>
      <c r="AB21" s="5">
        <v>0</v>
      </c>
      <c r="AC21" s="78">
        <v>0.27489999999999998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0.21199999999999999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5">
        <f t="shared" si="0"/>
        <v>1</v>
      </c>
    </row>
    <row r="22" spans="1:42" x14ac:dyDescent="0.25">
      <c r="A22" s="4" t="s">
        <v>430</v>
      </c>
      <c r="B22" s="4" t="s">
        <v>582</v>
      </c>
      <c r="C22" s="4" t="s">
        <v>557</v>
      </c>
      <c r="D22" s="78">
        <v>0.17580000000000001</v>
      </c>
      <c r="E22" s="5">
        <v>1.6000000000000001E-3</v>
      </c>
      <c r="F22" s="5">
        <v>2E-3</v>
      </c>
      <c r="G22" s="5">
        <v>0</v>
      </c>
      <c r="H22" s="5">
        <v>0</v>
      </c>
      <c r="I22" s="78">
        <v>1E-3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78">
        <v>3.0000000000000001E-3</v>
      </c>
      <c r="P22" s="5">
        <v>0</v>
      </c>
      <c r="Q22" s="5">
        <v>0</v>
      </c>
      <c r="R22" s="5">
        <v>0.106</v>
      </c>
      <c r="S22" s="5">
        <v>0</v>
      </c>
      <c r="T22" s="5">
        <v>0</v>
      </c>
      <c r="U22" s="5">
        <v>0.106</v>
      </c>
      <c r="V22" s="5">
        <v>0</v>
      </c>
      <c r="W22" s="5">
        <v>0</v>
      </c>
      <c r="X22" s="5">
        <v>0.106</v>
      </c>
      <c r="Y22" s="5">
        <v>0</v>
      </c>
      <c r="Z22" s="5">
        <v>0</v>
      </c>
      <c r="AA22" s="78">
        <v>1.17E-2</v>
      </c>
      <c r="AB22" s="5">
        <v>0</v>
      </c>
      <c r="AC22" s="78">
        <v>0.27489999999999998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0.21199999999999999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5">
        <f t="shared" si="0"/>
        <v>1</v>
      </c>
    </row>
    <row r="23" spans="1:42" x14ac:dyDescent="0.25">
      <c r="A23" s="11" t="s">
        <v>431</v>
      </c>
      <c r="B23" s="4" t="s">
        <v>582</v>
      </c>
      <c r="C23" s="4" t="s">
        <v>557</v>
      </c>
      <c r="D23" s="78">
        <v>0.17580000000000001</v>
      </c>
      <c r="E23" s="5">
        <v>1.6000000000000001E-3</v>
      </c>
      <c r="F23" s="5">
        <v>2E-3</v>
      </c>
      <c r="G23" s="5">
        <v>0</v>
      </c>
      <c r="H23" s="5">
        <v>0</v>
      </c>
      <c r="I23" s="78">
        <v>1E-3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78">
        <v>3.0000000000000001E-3</v>
      </c>
      <c r="P23" s="5">
        <v>0</v>
      </c>
      <c r="Q23" s="5">
        <v>0</v>
      </c>
      <c r="R23" s="5">
        <v>0.106</v>
      </c>
      <c r="S23" s="5">
        <v>0</v>
      </c>
      <c r="T23" s="5">
        <v>0</v>
      </c>
      <c r="U23" s="5">
        <v>0.106</v>
      </c>
      <c r="V23" s="5">
        <v>0</v>
      </c>
      <c r="W23" s="5">
        <v>0</v>
      </c>
      <c r="X23" s="5">
        <v>0.106</v>
      </c>
      <c r="Y23" s="5">
        <v>0</v>
      </c>
      <c r="Z23" s="5">
        <v>0</v>
      </c>
      <c r="AA23" s="78">
        <v>1.17E-2</v>
      </c>
      <c r="AB23" s="5">
        <v>0</v>
      </c>
      <c r="AC23" s="78">
        <v>0.27489999999999998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0.21199999999999999</v>
      </c>
      <c r="AN23" s="5">
        <v>0</v>
      </c>
      <c r="AO23" s="5">
        <v>0</v>
      </c>
      <c r="AP23" s="45">
        <f t="shared" si="0"/>
        <v>1</v>
      </c>
    </row>
    <row r="24" spans="1:42" x14ac:dyDescent="0.25">
      <c r="A24" s="11" t="s">
        <v>432</v>
      </c>
      <c r="B24" s="4" t="s">
        <v>582</v>
      </c>
      <c r="C24" s="4" t="s">
        <v>557</v>
      </c>
      <c r="D24" s="78">
        <v>0.17580000000000001</v>
      </c>
      <c r="E24" s="5">
        <v>1.6000000000000001E-3</v>
      </c>
      <c r="F24" s="5">
        <v>2E-3</v>
      </c>
      <c r="G24" s="5">
        <v>0</v>
      </c>
      <c r="H24" s="5">
        <v>0</v>
      </c>
      <c r="I24" s="78">
        <v>1E-3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78">
        <v>3.0000000000000001E-3</v>
      </c>
      <c r="P24" s="5">
        <v>0</v>
      </c>
      <c r="Q24" s="5">
        <v>0</v>
      </c>
      <c r="R24" s="5">
        <v>0.106</v>
      </c>
      <c r="S24" s="5">
        <v>0</v>
      </c>
      <c r="T24" s="5">
        <v>0</v>
      </c>
      <c r="U24" s="5">
        <v>0.106</v>
      </c>
      <c r="V24" s="5">
        <v>0</v>
      </c>
      <c r="W24" s="5">
        <v>0</v>
      </c>
      <c r="X24" s="5">
        <v>0.106</v>
      </c>
      <c r="Y24" s="5">
        <v>0</v>
      </c>
      <c r="Z24" s="5">
        <v>0</v>
      </c>
      <c r="AA24" s="78">
        <v>1.17E-2</v>
      </c>
      <c r="AB24" s="5">
        <v>0</v>
      </c>
      <c r="AC24" s="78">
        <v>0.27489999999999998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0.21199999999999999</v>
      </c>
      <c r="AP24" s="45">
        <f t="shared" si="0"/>
        <v>1</v>
      </c>
    </row>
    <row r="25" spans="1:42" x14ac:dyDescent="0.25">
      <c r="A25" s="4" t="s">
        <v>433</v>
      </c>
      <c r="B25" s="4" t="s">
        <v>582</v>
      </c>
      <c r="C25" s="4" t="s">
        <v>557</v>
      </c>
      <c r="D25" s="78">
        <v>0.17580000000000001</v>
      </c>
      <c r="E25" s="5">
        <v>1.6000000000000001E-3</v>
      </c>
      <c r="F25" s="5">
        <v>2E-3</v>
      </c>
      <c r="G25" s="5">
        <v>0</v>
      </c>
      <c r="H25" s="5">
        <v>0</v>
      </c>
      <c r="I25" s="78">
        <v>1E-3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78">
        <v>3.0000000000000001E-3</v>
      </c>
      <c r="P25" s="5">
        <v>0</v>
      </c>
      <c r="Q25" s="5">
        <v>0</v>
      </c>
      <c r="R25" s="5">
        <v>0.106</v>
      </c>
      <c r="S25" s="5">
        <v>0</v>
      </c>
      <c r="T25" s="5">
        <v>0</v>
      </c>
      <c r="U25" s="5">
        <v>0.106</v>
      </c>
      <c r="V25" s="5">
        <v>0</v>
      </c>
      <c r="W25" s="5">
        <v>0</v>
      </c>
      <c r="X25" s="5">
        <v>0.106</v>
      </c>
      <c r="Y25" s="5">
        <v>0</v>
      </c>
      <c r="Z25" s="5">
        <v>0</v>
      </c>
      <c r="AA25" s="78">
        <v>1.17E-2</v>
      </c>
      <c r="AB25" s="5">
        <v>0</v>
      </c>
      <c r="AC25" s="78">
        <v>0.27489999999999998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0.21199999999999999</v>
      </c>
      <c r="AL25" s="5">
        <v>0</v>
      </c>
      <c r="AM25" s="5">
        <v>0</v>
      </c>
      <c r="AN25" s="5">
        <v>0</v>
      </c>
      <c r="AO25" s="5">
        <v>0</v>
      </c>
      <c r="AP25" s="45">
        <f t="shared" si="0"/>
        <v>1</v>
      </c>
    </row>
    <row r="26" spans="1:42" x14ac:dyDescent="0.25">
      <c r="A26" s="11" t="s">
        <v>434</v>
      </c>
      <c r="B26" s="4" t="s">
        <v>582</v>
      </c>
      <c r="C26" s="4" t="s">
        <v>557</v>
      </c>
      <c r="D26" s="78">
        <v>0.17580000000000001</v>
      </c>
      <c r="E26" s="5">
        <v>1.6000000000000001E-3</v>
      </c>
      <c r="F26" s="5">
        <v>2E-3</v>
      </c>
      <c r="G26" s="5">
        <v>0</v>
      </c>
      <c r="H26" s="5">
        <v>0</v>
      </c>
      <c r="I26" s="78">
        <v>1E-3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78">
        <v>3.0000000000000001E-3</v>
      </c>
      <c r="P26" s="5">
        <v>0</v>
      </c>
      <c r="Q26" s="5">
        <v>0</v>
      </c>
      <c r="R26" s="5">
        <v>0.106</v>
      </c>
      <c r="S26" s="5">
        <v>0</v>
      </c>
      <c r="T26" s="5">
        <v>0</v>
      </c>
      <c r="U26" s="5">
        <v>0.106</v>
      </c>
      <c r="V26" s="5">
        <v>0</v>
      </c>
      <c r="W26" s="5">
        <v>0</v>
      </c>
      <c r="X26" s="5">
        <v>0.106</v>
      </c>
      <c r="Y26" s="5">
        <v>0</v>
      </c>
      <c r="Z26" s="5">
        <v>0</v>
      </c>
      <c r="AA26" s="78">
        <v>1.17E-2</v>
      </c>
      <c r="AB26" s="5">
        <v>0</v>
      </c>
      <c r="AC26" s="5">
        <v>0</v>
      </c>
      <c r="AD26" s="5">
        <v>0.27489999999999998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0.21199999999999999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45">
        <f t="shared" si="0"/>
        <v>1</v>
      </c>
    </row>
    <row r="27" spans="1:42" x14ac:dyDescent="0.25">
      <c r="A27" s="4" t="s">
        <v>447</v>
      </c>
      <c r="B27" s="4" t="s">
        <v>582</v>
      </c>
      <c r="C27" s="4" t="s">
        <v>557</v>
      </c>
      <c r="D27" s="78">
        <v>0.17580000000000001</v>
      </c>
      <c r="E27" s="5">
        <v>1.6000000000000001E-3</v>
      </c>
      <c r="F27" s="5">
        <v>2E-3</v>
      </c>
      <c r="G27" s="5">
        <v>0</v>
      </c>
      <c r="H27" s="5">
        <v>0</v>
      </c>
      <c r="I27" s="78">
        <v>1E-3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78">
        <v>3.0000000000000001E-3</v>
      </c>
      <c r="P27" s="5">
        <v>0</v>
      </c>
      <c r="Q27" s="5">
        <v>0</v>
      </c>
      <c r="R27" s="5">
        <v>0.106</v>
      </c>
      <c r="S27" s="5">
        <v>0</v>
      </c>
      <c r="T27" s="5">
        <v>0</v>
      </c>
      <c r="U27" s="5">
        <v>0.106</v>
      </c>
      <c r="V27" s="5">
        <v>0</v>
      </c>
      <c r="W27" s="5">
        <v>0</v>
      </c>
      <c r="X27" s="5">
        <v>0.106</v>
      </c>
      <c r="Y27" s="5">
        <v>0</v>
      </c>
      <c r="Z27" s="5">
        <v>0</v>
      </c>
      <c r="AA27" s="78">
        <v>1.17E-2</v>
      </c>
      <c r="AB27" s="5">
        <v>0</v>
      </c>
      <c r="AC27" s="5">
        <v>0</v>
      </c>
      <c r="AD27" s="5">
        <v>0.27489999999999998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0.21199999999999999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45">
        <f t="shared" si="0"/>
        <v>1</v>
      </c>
    </row>
    <row r="28" spans="1:42" x14ac:dyDescent="0.25">
      <c r="A28" s="11" t="s">
        <v>448</v>
      </c>
      <c r="B28" s="4" t="s">
        <v>582</v>
      </c>
      <c r="C28" s="4" t="s">
        <v>557</v>
      </c>
      <c r="D28" s="78">
        <v>0.17530000000000001</v>
      </c>
      <c r="E28" s="5">
        <v>2E-3</v>
      </c>
      <c r="F28" s="5">
        <v>2E-3</v>
      </c>
      <c r="G28" s="5">
        <v>0</v>
      </c>
      <c r="H28" s="78">
        <v>1E-3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78">
        <v>3.0000000000000001E-3</v>
      </c>
      <c r="P28" s="5">
        <v>0</v>
      </c>
      <c r="Q28" s="5">
        <v>0</v>
      </c>
      <c r="R28" s="5">
        <v>0.106</v>
      </c>
      <c r="S28" s="5">
        <v>0</v>
      </c>
      <c r="T28" s="5">
        <v>0</v>
      </c>
      <c r="U28" s="5">
        <v>0.106</v>
      </c>
      <c r="V28" s="5">
        <v>0</v>
      </c>
      <c r="W28" s="5">
        <v>0</v>
      </c>
      <c r="X28" s="5">
        <v>0.106</v>
      </c>
      <c r="Y28" s="5">
        <v>0</v>
      </c>
      <c r="Z28" s="5">
        <v>0</v>
      </c>
      <c r="AA28" s="78">
        <v>1.17E-2</v>
      </c>
      <c r="AB28" s="5">
        <v>0</v>
      </c>
      <c r="AC28" s="5">
        <v>0.27489999999999998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0.21199999999999999</v>
      </c>
      <c r="AP28" s="45">
        <f t="shared" si="0"/>
        <v>0.99990000000000001</v>
      </c>
    </row>
    <row r="29" spans="1:42" x14ac:dyDescent="0.25">
      <c r="A29" s="4" t="s">
        <v>449</v>
      </c>
      <c r="B29" s="4" t="s">
        <v>582</v>
      </c>
      <c r="C29" s="4" t="s">
        <v>557</v>
      </c>
      <c r="D29" s="5">
        <v>0.1762</v>
      </c>
      <c r="E29" s="5">
        <v>2E-3</v>
      </c>
      <c r="F29" s="5">
        <v>2E-3</v>
      </c>
      <c r="G29" s="5">
        <v>0</v>
      </c>
      <c r="H29" s="5">
        <v>0</v>
      </c>
      <c r="I29" s="5">
        <v>6.9999999999999999E-4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78">
        <v>2.5000000000000001E-3</v>
      </c>
      <c r="P29" s="5">
        <v>0</v>
      </c>
      <c r="Q29" s="5">
        <v>0</v>
      </c>
      <c r="R29" s="5">
        <v>0.106</v>
      </c>
      <c r="S29" s="5">
        <v>0</v>
      </c>
      <c r="T29" s="5">
        <v>0</v>
      </c>
      <c r="U29" s="5">
        <v>0.106</v>
      </c>
      <c r="V29" s="5">
        <v>0</v>
      </c>
      <c r="W29" s="5">
        <v>0</v>
      </c>
      <c r="X29" s="5">
        <v>0.106</v>
      </c>
      <c r="Y29" s="5">
        <v>0</v>
      </c>
      <c r="Z29" s="5">
        <v>0</v>
      </c>
      <c r="AA29" s="78">
        <v>1.17E-2</v>
      </c>
      <c r="AB29" s="5">
        <v>0</v>
      </c>
      <c r="AC29" s="5">
        <v>0.27489999999999998</v>
      </c>
      <c r="AD29" s="5">
        <v>0</v>
      </c>
      <c r="AE29" s="5">
        <v>0</v>
      </c>
      <c r="AF29" s="5">
        <v>0</v>
      </c>
      <c r="AG29" s="5">
        <v>0.02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0.192</v>
      </c>
      <c r="AP29" s="45">
        <f t="shared" si="0"/>
        <v>1</v>
      </c>
    </row>
    <row r="30" spans="1:42" x14ac:dyDescent="0.25">
      <c r="A30" s="11" t="s">
        <v>452</v>
      </c>
      <c r="B30" s="4" t="s">
        <v>582</v>
      </c>
      <c r="C30" s="4" t="s">
        <v>557</v>
      </c>
      <c r="D30" s="5">
        <v>0.1762</v>
      </c>
      <c r="E30" s="5">
        <v>2E-3</v>
      </c>
      <c r="F30" s="5">
        <v>2E-3</v>
      </c>
      <c r="G30" s="5">
        <v>0</v>
      </c>
      <c r="H30" s="5">
        <v>0</v>
      </c>
      <c r="I30" s="5">
        <v>6.9999999999999999E-4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78">
        <v>2.5000000000000001E-3</v>
      </c>
      <c r="P30" s="5">
        <v>0</v>
      </c>
      <c r="Q30" s="5">
        <v>0</v>
      </c>
      <c r="R30" s="5">
        <v>0.106</v>
      </c>
      <c r="S30" s="5">
        <v>0</v>
      </c>
      <c r="T30" s="5">
        <v>0</v>
      </c>
      <c r="U30" s="5">
        <v>0.106</v>
      </c>
      <c r="V30" s="5">
        <v>0</v>
      </c>
      <c r="W30" s="5">
        <v>0</v>
      </c>
      <c r="X30" s="5">
        <v>0.106</v>
      </c>
      <c r="Y30" s="5">
        <v>0</v>
      </c>
      <c r="Z30" s="5">
        <v>0</v>
      </c>
      <c r="AA30" s="78">
        <v>1.17E-2</v>
      </c>
      <c r="AB30" s="5">
        <v>0</v>
      </c>
      <c r="AC30" s="5">
        <v>0.27489999999999998</v>
      </c>
      <c r="AD30" s="5">
        <v>0</v>
      </c>
      <c r="AE30" s="5">
        <v>0</v>
      </c>
      <c r="AF30" s="5">
        <v>0</v>
      </c>
      <c r="AG30" s="5">
        <v>0.02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0.192</v>
      </c>
      <c r="AN30" s="5">
        <v>0</v>
      </c>
      <c r="AO30" s="5">
        <v>0</v>
      </c>
      <c r="AP30" s="45">
        <f t="shared" si="0"/>
        <v>1</v>
      </c>
    </row>
    <row r="31" spans="1:42" x14ac:dyDescent="0.25">
      <c r="A31" s="89" t="s">
        <v>453</v>
      </c>
      <c r="B31" s="4" t="s">
        <v>582</v>
      </c>
      <c r="C31" s="4" t="s">
        <v>557</v>
      </c>
      <c r="D31" s="5">
        <v>0.1762</v>
      </c>
      <c r="E31" s="5">
        <v>2E-3</v>
      </c>
      <c r="F31" s="5">
        <v>2E-3</v>
      </c>
      <c r="G31" s="5">
        <v>0</v>
      </c>
      <c r="H31" s="5">
        <v>0</v>
      </c>
      <c r="I31" s="5">
        <v>6.9999999999999999E-4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78">
        <v>2.5000000000000001E-3</v>
      </c>
      <c r="P31" s="5">
        <v>0</v>
      </c>
      <c r="Q31" s="5">
        <v>0</v>
      </c>
      <c r="R31" s="5">
        <v>0.106</v>
      </c>
      <c r="S31" s="5">
        <v>0</v>
      </c>
      <c r="T31" s="5">
        <v>0</v>
      </c>
      <c r="U31" s="5">
        <v>0.106</v>
      </c>
      <c r="V31" s="5">
        <v>0</v>
      </c>
      <c r="W31" s="5">
        <v>0</v>
      </c>
      <c r="X31" s="5">
        <v>0.106</v>
      </c>
      <c r="Y31" s="5">
        <v>0</v>
      </c>
      <c r="Z31" s="5">
        <v>0</v>
      </c>
      <c r="AA31" s="78">
        <v>1.17E-2</v>
      </c>
      <c r="AB31" s="5">
        <v>0</v>
      </c>
      <c r="AC31" s="5">
        <v>0.27489999999999998</v>
      </c>
      <c r="AD31" s="5">
        <v>0</v>
      </c>
      <c r="AE31" s="5">
        <v>0</v>
      </c>
      <c r="AF31" s="5">
        <v>0</v>
      </c>
      <c r="AG31" s="5">
        <v>0.02</v>
      </c>
      <c r="AH31" s="5">
        <v>0</v>
      </c>
      <c r="AI31" s="5">
        <v>0</v>
      </c>
      <c r="AJ31" s="5">
        <v>0</v>
      </c>
      <c r="AK31" s="5">
        <v>0.192</v>
      </c>
      <c r="AL31" s="5">
        <v>0</v>
      </c>
      <c r="AM31" s="5">
        <v>0</v>
      </c>
      <c r="AN31" s="5">
        <v>0</v>
      </c>
      <c r="AO31" s="5">
        <v>0</v>
      </c>
      <c r="AP31" s="45">
        <f t="shared" si="0"/>
        <v>1</v>
      </c>
    </row>
    <row r="32" spans="1:42" x14ac:dyDescent="0.25">
      <c r="A32" s="89" t="s">
        <v>454</v>
      </c>
      <c r="B32" s="4" t="s">
        <v>582</v>
      </c>
      <c r="C32" s="4" t="s">
        <v>557</v>
      </c>
      <c r="D32" s="5">
        <v>0.17560000000000001</v>
      </c>
      <c r="E32" s="5">
        <v>1.6000000000000001E-3</v>
      </c>
      <c r="F32" s="5">
        <v>2E-3</v>
      </c>
      <c r="G32" s="5">
        <v>0</v>
      </c>
      <c r="H32" s="5">
        <v>0</v>
      </c>
      <c r="I32" s="5">
        <v>1.1999999999999999E-3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78">
        <v>3.0000000000000001E-3</v>
      </c>
      <c r="P32" s="5">
        <v>0</v>
      </c>
      <c r="Q32" s="5">
        <v>0</v>
      </c>
      <c r="R32" s="5">
        <v>0.12</v>
      </c>
      <c r="S32" s="5">
        <v>0</v>
      </c>
      <c r="T32" s="5">
        <v>0</v>
      </c>
      <c r="U32" s="5">
        <v>0.106</v>
      </c>
      <c r="V32" s="5">
        <v>0</v>
      </c>
      <c r="W32" s="5">
        <v>0</v>
      </c>
      <c r="X32" s="5">
        <v>0.106</v>
      </c>
      <c r="Y32" s="5">
        <v>0</v>
      </c>
      <c r="Z32" s="5">
        <v>0</v>
      </c>
      <c r="AA32" s="78">
        <v>1.17E-2</v>
      </c>
      <c r="AB32" s="5">
        <v>0</v>
      </c>
      <c r="AC32" s="5">
        <v>0</v>
      </c>
      <c r="AD32" s="5">
        <v>0.26090000000000002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0.21199999999999999</v>
      </c>
      <c r="AL32" s="5">
        <v>0</v>
      </c>
      <c r="AM32" s="5">
        <v>0</v>
      </c>
      <c r="AN32" s="5">
        <v>0</v>
      </c>
      <c r="AO32" s="5">
        <v>0</v>
      </c>
      <c r="AP32" s="45">
        <f t="shared" si="0"/>
        <v>1</v>
      </c>
    </row>
    <row r="33" spans="1:42" x14ac:dyDescent="0.25">
      <c r="A33" s="89" t="s">
        <v>455</v>
      </c>
      <c r="B33" s="4" t="s">
        <v>582</v>
      </c>
      <c r="C33" s="4" t="s">
        <v>557</v>
      </c>
      <c r="D33" s="5">
        <v>0.17560000000000001</v>
      </c>
      <c r="E33" s="5">
        <v>1.6000000000000001E-3</v>
      </c>
      <c r="F33" s="5">
        <v>2E-3</v>
      </c>
      <c r="G33" s="5">
        <v>0</v>
      </c>
      <c r="H33" s="5">
        <v>0</v>
      </c>
      <c r="I33" s="5">
        <v>1.1999999999999999E-3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78">
        <v>3.0000000000000001E-3</v>
      </c>
      <c r="P33" s="5">
        <v>0</v>
      </c>
      <c r="Q33" s="5">
        <v>0</v>
      </c>
      <c r="R33" s="5">
        <v>0.12</v>
      </c>
      <c r="S33" s="5">
        <v>0</v>
      </c>
      <c r="T33" s="5">
        <v>0</v>
      </c>
      <c r="U33" s="5">
        <v>0.106</v>
      </c>
      <c r="V33" s="5">
        <v>0</v>
      </c>
      <c r="W33" s="5">
        <v>0</v>
      </c>
      <c r="X33" s="5">
        <v>0.106</v>
      </c>
      <c r="Y33" s="5">
        <v>0</v>
      </c>
      <c r="Z33" s="5">
        <v>0</v>
      </c>
      <c r="AA33" s="78">
        <v>1.17E-2</v>
      </c>
      <c r="AB33" s="5">
        <v>0</v>
      </c>
      <c r="AC33" s="5">
        <v>0</v>
      </c>
      <c r="AD33" s="5">
        <v>0</v>
      </c>
      <c r="AE33" s="5">
        <v>0.26090000000000002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0.21199999999999999</v>
      </c>
      <c r="AL33" s="5">
        <v>0</v>
      </c>
      <c r="AM33" s="5">
        <v>0</v>
      </c>
      <c r="AN33" s="5">
        <v>0</v>
      </c>
      <c r="AO33" s="5">
        <v>0</v>
      </c>
      <c r="AP33" s="45">
        <f t="shared" si="0"/>
        <v>1</v>
      </c>
    </row>
    <row r="34" spans="1:42" x14ac:dyDescent="0.25">
      <c r="A34" s="89" t="s">
        <v>457</v>
      </c>
      <c r="B34" s="4" t="s">
        <v>582</v>
      </c>
      <c r="C34" s="4" t="s">
        <v>557</v>
      </c>
      <c r="D34" s="5">
        <v>0.17560000000000001</v>
      </c>
      <c r="E34" s="5">
        <v>1.6000000000000001E-3</v>
      </c>
      <c r="F34" s="5">
        <v>2E-3</v>
      </c>
      <c r="G34" s="5">
        <v>0</v>
      </c>
      <c r="H34" s="5">
        <v>0</v>
      </c>
      <c r="I34" s="5">
        <v>1.1999999999999999E-3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78">
        <v>3.0000000000000001E-3</v>
      </c>
      <c r="P34" s="5">
        <v>0</v>
      </c>
      <c r="Q34" s="5">
        <v>0</v>
      </c>
      <c r="R34" s="5">
        <v>0.12</v>
      </c>
      <c r="S34" s="5">
        <v>0</v>
      </c>
      <c r="T34" s="5">
        <v>0</v>
      </c>
      <c r="U34" s="5">
        <v>0.106</v>
      </c>
      <c r="V34" s="5">
        <v>0</v>
      </c>
      <c r="W34" s="5">
        <v>0</v>
      </c>
      <c r="X34" s="5">
        <v>0.106</v>
      </c>
      <c r="Y34" s="5">
        <v>0</v>
      </c>
      <c r="Z34" s="5">
        <v>0</v>
      </c>
      <c r="AA34" s="78">
        <v>1.17E-2</v>
      </c>
      <c r="AB34" s="5">
        <v>0</v>
      </c>
      <c r="AC34" s="5">
        <v>0</v>
      </c>
      <c r="AD34" s="5">
        <v>0.25090000000000001</v>
      </c>
      <c r="AE34" s="5">
        <v>0</v>
      </c>
      <c r="AF34" s="5">
        <v>0.01</v>
      </c>
      <c r="AG34" s="5">
        <v>0</v>
      </c>
      <c r="AH34" s="5">
        <v>0</v>
      </c>
      <c r="AI34" s="5">
        <v>0</v>
      </c>
      <c r="AJ34" s="5">
        <v>0</v>
      </c>
      <c r="AK34" s="5">
        <v>0.21199999999999999</v>
      </c>
      <c r="AL34" s="5">
        <v>0</v>
      </c>
      <c r="AM34" s="5">
        <v>0</v>
      </c>
      <c r="AN34" s="5">
        <v>0</v>
      </c>
      <c r="AO34" s="5">
        <v>0</v>
      </c>
      <c r="AP34" s="45">
        <f t="shared" si="0"/>
        <v>1</v>
      </c>
    </row>
    <row r="35" spans="1:42" x14ac:dyDescent="0.25">
      <c r="A35" s="89" t="s">
        <v>459</v>
      </c>
      <c r="B35" s="4" t="s">
        <v>582</v>
      </c>
      <c r="C35" s="4" t="s">
        <v>557</v>
      </c>
      <c r="D35" s="5">
        <v>0.17560000000000001</v>
      </c>
      <c r="E35" s="5">
        <v>1.6000000000000001E-3</v>
      </c>
      <c r="F35" s="5">
        <v>2E-3</v>
      </c>
      <c r="G35" s="5">
        <v>0</v>
      </c>
      <c r="H35" s="5">
        <v>0</v>
      </c>
      <c r="I35" s="5">
        <v>1.1999999999999999E-3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78">
        <v>3.0000000000000001E-3</v>
      </c>
      <c r="P35" s="5">
        <v>0</v>
      </c>
      <c r="Q35" s="5">
        <v>0</v>
      </c>
      <c r="R35" s="5">
        <v>0.12</v>
      </c>
      <c r="S35" s="5">
        <v>0</v>
      </c>
      <c r="T35" s="5">
        <v>0</v>
      </c>
      <c r="U35" s="5">
        <v>0.106</v>
      </c>
      <c r="V35" s="5">
        <v>0</v>
      </c>
      <c r="W35" s="5">
        <v>0</v>
      </c>
      <c r="X35" s="5">
        <v>0.106</v>
      </c>
      <c r="Y35" s="5">
        <v>0</v>
      </c>
      <c r="Z35" s="5">
        <v>0</v>
      </c>
      <c r="AA35" s="78">
        <v>1.17E-2</v>
      </c>
      <c r="AB35" s="5">
        <v>0</v>
      </c>
      <c r="AC35" s="5">
        <v>0</v>
      </c>
      <c r="AD35" s="5">
        <v>0</v>
      </c>
      <c r="AE35" s="5">
        <v>0.25090000000000001</v>
      </c>
      <c r="AF35" s="5">
        <v>0.01</v>
      </c>
      <c r="AG35" s="5">
        <v>0</v>
      </c>
      <c r="AH35" s="5">
        <v>0</v>
      </c>
      <c r="AI35" s="5">
        <v>0</v>
      </c>
      <c r="AJ35" s="5">
        <v>0</v>
      </c>
      <c r="AK35" s="5">
        <v>0.21199999999999999</v>
      </c>
      <c r="AL35" s="5">
        <v>0</v>
      </c>
      <c r="AM35" s="5">
        <v>0</v>
      </c>
      <c r="AN35" s="5">
        <v>0</v>
      </c>
      <c r="AO35" s="5">
        <v>0</v>
      </c>
      <c r="AP35" s="45">
        <f t="shared" si="0"/>
        <v>1</v>
      </c>
    </row>
    <row r="36" spans="1:42" x14ac:dyDescent="0.25">
      <c r="A36" s="89" t="s">
        <v>460</v>
      </c>
      <c r="B36" s="4" t="s">
        <v>582</v>
      </c>
      <c r="C36" s="4" t="s">
        <v>557</v>
      </c>
      <c r="D36" s="5">
        <v>0.17560000000000001</v>
      </c>
      <c r="E36" s="5">
        <v>1.6000000000000001E-3</v>
      </c>
      <c r="F36" s="5">
        <v>2E-3</v>
      </c>
      <c r="G36" s="5">
        <v>0</v>
      </c>
      <c r="H36" s="5">
        <v>0</v>
      </c>
      <c r="I36" s="5">
        <v>1.1999999999999999E-3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78">
        <v>3.0000000000000001E-3</v>
      </c>
      <c r="P36" s="5">
        <v>0</v>
      </c>
      <c r="Q36" s="5">
        <v>0</v>
      </c>
      <c r="R36" s="5">
        <v>0.12</v>
      </c>
      <c r="S36" s="5">
        <v>0</v>
      </c>
      <c r="T36" s="5">
        <v>0</v>
      </c>
      <c r="U36" s="5">
        <v>0.106</v>
      </c>
      <c r="V36" s="5">
        <v>0</v>
      </c>
      <c r="W36" s="5">
        <v>0</v>
      </c>
      <c r="X36" s="5">
        <v>0.106</v>
      </c>
      <c r="Y36" s="5">
        <v>0</v>
      </c>
      <c r="Z36" s="5">
        <v>0</v>
      </c>
      <c r="AA36" s="78">
        <v>1.17E-2</v>
      </c>
      <c r="AB36" s="5">
        <v>0</v>
      </c>
      <c r="AC36" s="5">
        <v>0</v>
      </c>
      <c r="AD36" s="5">
        <v>0.2409</v>
      </c>
      <c r="AE36" s="5">
        <v>0</v>
      </c>
      <c r="AF36" s="5">
        <v>0</v>
      </c>
      <c r="AG36" s="5">
        <v>0</v>
      </c>
      <c r="AH36" s="5">
        <v>0.02</v>
      </c>
      <c r="AI36" s="5">
        <v>0</v>
      </c>
      <c r="AJ36" s="5">
        <v>0</v>
      </c>
      <c r="AK36" s="5">
        <v>0.21199999999999999</v>
      </c>
      <c r="AL36" s="5">
        <v>0</v>
      </c>
      <c r="AM36" s="5">
        <v>0</v>
      </c>
      <c r="AN36" s="5">
        <v>0</v>
      </c>
      <c r="AO36" s="5">
        <v>0</v>
      </c>
      <c r="AP36" s="45">
        <f t="shared" si="0"/>
        <v>1</v>
      </c>
    </row>
    <row r="37" spans="1:42" x14ac:dyDescent="0.25">
      <c r="A37" s="89" t="s">
        <v>461</v>
      </c>
      <c r="B37" s="4" t="s">
        <v>582</v>
      </c>
      <c r="C37" s="4" t="s">
        <v>557</v>
      </c>
      <c r="D37" s="5">
        <v>0.17560000000000001</v>
      </c>
      <c r="E37" s="78">
        <v>2E-3</v>
      </c>
      <c r="F37" s="5">
        <v>2E-3</v>
      </c>
      <c r="G37" s="5">
        <v>0</v>
      </c>
      <c r="H37" s="5">
        <v>0</v>
      </c>
      <c r="I37" s="5">
        <v>1E-3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78">
        <v>2.5000000000000001E-3</v>
      </c>
      <c r="P37" s="5">
        <v>0</v>
      </c>
      <c r="Q37" s="5">
        <v>0</v>
      </c>
      <c r="R37" s="5">
        <v>0.106</v>
      </c>
      <c r="S37" s="5">
        <v>0</v>
      </c>
      <c r="T37" s="5">
        <v>0</v>
      </c>
      <c r="U37" s="5">
        <v>0.106</v>
      </c>
      <c r="V37" s="5">
        <v>0</v>
      </c>
      <c r="W37" s="5">
        <v>0</v>
      </c>
      <c r="X37" s="5">
        <v>0.106</v>
      </c>
      <c r="Y37" s="5">
        <v>0</v>
      </c>
      <c r="Z37" s="5">
        <v>0</v>
      </c>
      <c r="AA37" s="78">
        <v>1.17E-2</v>
      </c>
      <c r="AB37" s="5">
        <v>0</v>
      </c>
      <c r="AC37" s="5">
        <v>0.27489999999999998</v>
      </c>
      <c r="AD37" s="5">
        <v>0</v>
      </c>
      <c r="AE37" s="5">
        <v>0</v>
      </c>
      <c r="AF37" s="5">
        <v>0</v>
      </c>
      <c r="AG37" s="5">
        <v>0.02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0.192</v>
      </c>
      <c r="AO37" s="5">
        <v>0</v>
      </c>
      <c r="AP37" s="45">
        <f t="shared" si="0"/>
        <v>0.99970000000000003</v>
      </c>
    </row>
    <row r="38" spans="1:42" x14ac:dyDescent="0.25">
      <c r="A38" s="89" t="s">
        <v>464</v>
      </c>
      <c r="B38" s="4" t="s">
        <v>582</v>
      </c>
      <c r="C38" s="4" t="s">
        <v>557</v>
      </c>
      <c r="D38" s="5">
        <v>0.16719999999999999</v>
      </c>
      <c r="E38" s="78">
        <v>1.6000000000000001E-3</v>
      </c>
      <c r="F38" s="5">
        <v>2E-3</v>
      </c>
      <c r="G38" s="5">
        <v>0</v>
      </c>
      <c r="H38" s="5">
        <v>0</v>
      </c>
      <c r="I38" s="5">
        <v>1E-3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78">
        <v>2.5000000000000001E-3</v>
      </c>
      <c r="P38" s="5">
        <v>0</v>
      </c>
      <c r="Q38" s="5">
        <v>0</v>
      </c>
      <c r="R38" s="5">
        <v>0.12</v>
      </c>
      <c r="S38" s="5">
        <v>0</v>
      </c>
      <c r="T38" s="5">
        <v>0</v>
      </c>
      <c r="U38" s="5">
        <v>0.106</v>
      </c>
      <c r="V38" s="5">
        <v>0</v>
      </c>
      <c r="W38" s="5">
        <v>0</v>
      </c>
      <c r="X38" s="5">
        <v>0.106</v>
      </c>
      <c r="Y38" s="5">
        <v>0</v>
      </c>
      <c r="Z38" s="5">
        <v>0</v>
      </c>
      <c r="AA38" s="78">
        <v>1.17E-2</v>
      </c>
      <c r="AB38" s="5">
        <v>0</v>
      </c>
      <c r="AC38" s="45">
        <v>0.24</v>
      </c>
      <c r="AD38" s="5">
        <v>0</v>
      </c>
      <c r="AE38" s="5">
        <v>0</v>
      </c>
      <c r="AF38" s="5">
        <v>0</v>
      </c>
      <c r="AG38" s="5">
        <v>0</v>
      </c>
      <c r="AH38" s="5">
        <v>0.03</v>
      </c>
      <c r="AI38" s="5">
        <v>0</v>
      </c>
      <c r="AJ38" s="5">
        <v>0</v>
      </c>
      <c r="AK38" s="5">
        <v>0</v>
      </c>
      <c r="AL38" s="5">
        <v>0</v>
      </c>
      <c r="AM38" s="5">
        <v>0.21199999999999999</v>
      </c>
      <c r="AN38" s="5">
        <v>0</v>
      </c>
      <c r="AO38" s="5">
        <v>0</v>
      </c>
      <c r="AP38" s="45">
        <f t="shared" si="0"/>
        <v>1</v>
      </c>
    </row>
    <row r="39" spans="1:42" x14ac:dyDescent="0.25">
      <c r="A39" s="89" t="s">
        <v>463</v>
      </c>
      <c r="B39" s="4" t="s">
        <v>582</v>
      </c>
      <c r="C39" s="4" t="s">
        <v>557</v>
      </c>
      <c r="D39" s="5">
        <v>0.16719999999999999</v>
      </c>
      <c r="E39" s="78">
        <v>1.6000000000000001E-3</v>
      </c>
      <c r="F39" s="5">
        <v>2E-3</v>
      </c>
      <c r="G39" s="5">
        <v>0</v>
      </c>
      <c r="H39" s="5">
        <v>0</v>
      </c>
      <c r="I39" s="5">
        <v>1E-3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78">
        <v>2.5000000000000001E-3</v>
      </c>
      <c r="P39" s="5">
        <v>0</v>
      </c>
      <c r="Q39" s="5">
        <v>0</v>
      </c>
      <c r="R39" s="5">
        <v>0.12</v>
      </c>
      <c r="S39" s="5">
        <v>0</v>
      </c>
      <c r="T39" s="5">
        <v>0</v>
      </c>
      <c r="U39" s="5">
        <v>0.106</v>
      </c>
      <c r="V39" s="5">
        <v>0</v>
      </c>
      <c r="W39" s="5">
        <v>0</v>
      </c>
      <c r="X39" s="5">
        <v>0.106</v>
      </c>
      <c r="Y39" s="5">
        <v>0</v>
      </c>
      <c r="Z39" s="5">
        <v>0</v>
      </c>
      <c r="AA39" s="78">
        <v>1.17E-2</v>
      </c>
      <c r="AB39" s="5">
        <v>0</v>
      </c>
      <c r="AC39" s="45">
        <v>0.24</v>
      </c>
      <c r="AD39" s="5">
        <v>0</v>
      </c>
      <c r="AE39" s="5">
        <v>0</v>
      </c>
      <c r="AF39" s="5">
        <v>0</v>
      </c>
      <c r="AG39" s="5">
        <v>0</v>
      </c>
      <c r="AH39" s="5">
        <v>0.03</v>
      </c>
      <c r="AI39" s="5">
        <v>0</v>
      </c>
      <c r="AJ39" s="5">
        <v>0</v>
      </c>
      <c r="AK39" s="5">
        <v>0.21199999999999999</v>
      </c>
      <c r="AL39" s="5">
        <v>0</v>
      </c>
      <c r="AM39" s="5">
        <v>0</v>
      </c>
      <c r="AN39" s="5">
        <v>0</v>
      </c>
      <c r="AO39" s="5">
        <v>0</v>
      </c>
      <c r="AP39" s="45">
        <f t="shared" si="0"/>
        <v>1</v>
      </c>
    </row>
    <row r="40" spans="1:42" x14ac:dyDescent="0.25">
      <c r="A40" s="89" t="s">
        <v>462</v>
      </c>
      <c r="B40" s="4" t="s">
        <v>582</v>
      </c>
      <c r="C40" s="4" t="s">
        <v>557</v>
      </c>
      <c r="D40" s="5">
        <v>0.17560000000000001</v>
      </c>
      <c r="E40" s="78">
        <v>1.6000000000000001E-3</v>
      </c>
      <c r="F40" s="5">
        <v>2E-3</v>
      </c>
      <c r="G40" s="5">
        <v>0</v>
      </c>
      <c r="H40" s="5">
        <v>0</v>
      </c>
      <c r="I40" s="5">
        <v>1.1999999999999999E-3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3.0000000000000001E-3</v>
      </c>
      <c r="P40" s="5">
        <v>0</v>
      </c>
      <c r="Q40" s="5">
        <v>0</v>
      </c>
      <c r="R40" s="5">
        <v>0.12</v>
      </c>
      <c r="S40" s="5">
        <v>0</v>
      </c>
      <c r="T40" s="5">
        <v>0</v>
      </c>
      <c r="U40" s="5">
        <v>0.106</v>
      </c>
      <c r="V40" s="5">
        <v>0</v>
      </c>
      <c r="W40" s="5">
        <v>0</v>
      </c>
      <c r="X40" s="5">
        <v>0.106</v>
      </c>
      <c r="Y40" s="5">
        <v>0</v>
      </c>
      <c r="Z40" s="5">
        <v>0</v>
      </c>
      <c r="AA40" s="78">
        <v>1.17E-2</v>
      </c>
      <c r="AB40" s="5">
        <v>0</v>
      </c>
      <c r="AC40" s="5">
        <v>0.25090000000000001</v>
      </c>
      <c r="AD40" s="5">
        <v>0</v>
      </c>
      <c r="AE40" s="5">
        <v>0</v>
      </c>
      <c r="AF40" s="5">
        <v>0.01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0.21199999999999999</v>
      </c>
      <c r="AN40" s="5">
        <v>0</v>
      </c>
      <c r="AO40" s="5">
        <v>0</v>
      </c>
      <c r="AP40" s="45">
        <f t="shared" si="0"/>
        <v>1</v>
      </c>
    </row>
    <row r="41" spans="1:42" x14ac:dyDescent="0.25">
      <c r="A41" s="89" t="s">
        <v>465</v>
      </c>
      <c r="B41" s="4" t="s">
        <v>582</v>
      </c>
      <c r="C41" s="4" t="s">
        <v>557</v>
      </c>
      <c r="D41" s="5">
        <v>0.17560000000000001</v>
      </c>
      <c r="E41" s="78">
        <v>1.6000000000000001E-3</v>
      </c>
      <c r="F41" s="5">
        <v>2E-3</v>
      </c>
      <c r="G41" s="5">
        <v>0</v>
      </c>
      <c r="H41" s="5">
        <v>0</v>
      </c>
      <c r="I41" s="5">
        <v>1.1999999999999999E-3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3.0000000000000001E-3</v>
      </c>
      <c r="P41" s="5">
        <v>0</v>
      </c>
      <c r="Q41" s="5">
        <v>0</v>
      </c>
      <c r="R41" s="5">
        <v>0.12</v>
      </c>
      <c r="S41" s="5">
        <v>0</v>
      </c>
      <c r="T41" s="5">
        <v>0</v>
      </c>
      <c r="U41" s="5">
        <v>0.106</v>
      </c>
      <c r="V41" s="5">
        <v>0</v>
      </c>
      <c r="W41" s="5">
        <v>0</v>
      </c>
      <c r="X41" s="5">
        <v>0.106</v>
      </c>
      <c r="Y41" s="5">
        <v>0</v>
      </c>
      <c r="Z41" s="5">
        <v>0</v>
      </c>
      <c r="AA41" s="78">
        <v>1.17E-2</v>
      </c>
      <c r="AB41" s="5">
        <v>0</v>
      </c>
      <c r="AC41" s="5">
        <v>0.25090000000000001</v>
      </c>
      <c r="AD41" s="5">
        <v>0</v>
      </c>
      <c r="AE41" s="5">
        <v>0</v>
      </c>
      <c r="AF41" s="5">
        <v>0.01</v>
      </c>
      <c r="AG41" s="5">
        <v>0</v>
      </c>
      <c r="AH41" s="5">
        <v>0</v>
      </c>
      <c r="AI41" s="5">
        <v>0</v>
      </c>
      <c r="AJ41" s="5">
        <v>0</v>
      </c>
      <c r="AK41" s="5">
        <v>0.21199999999999999</v>
      </c>
      <c r="AL41" s="5">
        <v>0</v>
      </c>
      <c r="AM41" s="5">
        <v>0</v>
      </c>
      <c r="AN41" s="5">
        <v>0</v>
      </c>
      <c r="AO41" s="5">
        <v>0</v>
      </c>
      <c r="AP41" s="45">
        <f t="shared" si="0"/>
        <v>1</v>
      </c>
    </row>
    <row r="42" spans="1:42" x14ac:dyDescent="0.25">
      <c r="A42" s="89" t="s">
        <v>466</v>
      </c>
      <c r="B42" s="4" t="s">
        <v>582</v>
      </c>
      <c r="C42" s="4" t="s">
        <v>557</v>
      </c>
      <c r="D42" s="5">
        <v>0.1361</v>
      </c>
      <c r="E42" s="78">
        <v>1.6000000000000001E-3</v>
      </c>
      <c r="F42" s="5">
        <v>2E-3</v>
      </c>
      <c r="G42" s="5">
        <v>0</v>
      </c>
      <c r="H42" s="5">
        <v>0</v>
      </c>
      <c r="I42" s="5">
        <v>1.1999999999999999E-3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78">
        <v>2.5000000000000001E-3</v>
      </c>
      <c r="P42" s="5">
        <v>0</v>
      </c>
      <c r="Q42" s="5">
        <v>0</v>
      </c>
      <c r="R42" s="5">
        <v>0.12</v>
      </c>
      <c r="S42" s="5">
        <v>0</v>
      </c>
      <c r="T42" s="5">
        <v>0</v>
      </c>
      <c r="U42" s="5">
        <v>0.10100000000000001</v>
      </c>
      <c r="V42" s="5">
        <v>0</v>
      </c>
      <c r="W42" s="5">
        <v>0</v>
      </c>
      <c r="X42" s="5">
        <v>0.10100000000000001</v>
      </c>
      <c r="Y42" s="5">
        <v>0</v>
      </c>
      <c r="Z42" s="5">
        <v>0</v>
      </c>
      <c r="AA42" s="78">
        <v>1.17E-2</v>
      </c>
      <c r="AB42" s="5">
        <v>0</v>
      </c>
      <c r="AC42" s="5">
        <v>0.2409</v>
      </c>
      <c r="AD42" s="5">
        <v>0</v>
      </c>
      <c r="AE42" s="5">
        <v>0</v>
      </c>
      <c r="AF42" s="5">
        <v>0</v>
      </c>
      <c r="AG42" s="5">
        <v>0.03</v>
      </c>
      <c r="AH42" s="5">
        <v>0</v>
      </c>
      <c r="AI42" s="5">
        <v>0.04</v>
      </c>
      <c r="AJ42" s="5">
        <v>0</v>
      </c>
      <c r="AK42" s="5">
        <v>0</v>
      </c>
      <c r="AL42" s="5">
        <v>0</v>
      </c>
      <c r="AM42" s="5">
        <v>0.21199999999999999</v>
      </c>
      <c r="AN42" s="5">
        <v>0</v>
      </c>
      <c r="AO42" s="5">
        <v>0</v>
      </c>
      <c r="AP42" s="45">
        <f t="shared" si="0"/>
        <v>1</v>
      </c>
    </row>
    <row r="43" spans="1:42" x14ac:dyDescent="0.25">
      <c r="A43" s="89" t="s">
        <v>468</v>
      </c>
      <c r="B43" s="4" t="s">
        <v>582</v>
      </c>
      <c r="C43" s="4" t="s">
        <v>557</v>
      </c>
      <c r="D43" s="5">
        <v>0.1361</v>
      </c>
      <c r="E43" s="78">
        <v>1.6000000000000001E-3</v>
      </c>
      <c r="F43" s="5">
        <v>2E-3</v>
      </c>
      <c r="G43" s="5">
        <v>0</v>
      </c>
      <c r="H43" s="5">
        <v>0</v>
      </c>
      <c r="I43" s="5">
        <v>1.1999999999999999E-3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78">
        <v>2.5000000000000001E-3</v>
      </c>
      <c r="P43" s="5">
        <v>0</v>
      </c>
      <c r="Q43" s="5">
        <v>0</v>
      </c>
      <c r="R43" s="5">
        <v>0.12</v>
      </c>
      <c r="S43" s="5">
        <v>0</v>
      </c>
      <c r="T43" s="5">
        <v>0</v>
      </c>
      <c r="U43" s="5">
        <v>0.10100000000000001</v>
      </c>
      <c r="V43" s="5">
        <v>0</v>
      </c>
      <c r="W43" s="5">
        <v>0</v>
      </c>
      <c r="X43" s="5">
        <v>0.10100000000000001</v>
      </c>
      <c r="Y43" s="5">
        <v>0</v>
      </c>
      <c r="Z43" s="5">
        <v>0</v>
      </c>
      <c r="AA43" s="78">
        <v>1.17E-2</v>
      </c>
      <c r="AB43" s="5">
        <v>0</v>
      </c>
      <c r="AC43" s="5">
        <v>0.2409</v>
      </c>
      <c r="AD43" s="5">
        <v>0</v>
      </c>
      <c r="AE43" s="5">
        <v>0</v>
      </c>
      <c r="AF43" s="5">
        <v>0</v>
      </c>
      <c r="AG43" s="5">
        <v>0.03</v>
      </c>
      <c r="AH43" s="5">
        <v>0</v>
      </c>
      <c r="AI43" s="5">
        <v>0.04</v>
      </c>
      <c r="AJ43" s="5">
        <v>0</v>
      </c>
      <c r="AK43" s="5">
        <v>0.21199999999999999</v>
      </c>
      <c r="AL43" s="5">
        <v>0</v>
      </c>
      <c r="AM43" s="5">
        <v>0</v>
      </c>
      <c r="AN43" s="5">
        <v>0</v>
      </c>
      <c r="AO43" s="5">
        <v>0</v>
      </c>
      <c r="AP43" s="45">
        <f t="shared" si="0"/>
        <v>1</v>
      </c>
    </row>
    <row r="44" spans="1:42" x14ac:dyDescent="0.25">
      <c r="A44" s="89" t="s">
        <v>469</v>
      </c>
      <c r="B44" s="4" t="s">
        <v>582</v>
      </c>
      <c r="C44" s="4" t="s">
        <v>557</v>
      </c>
      <c r="D44" s="5">
        <v>0.17549999999999999</v>
      </c>
      <c r="E44" s="78">
        <v>1.6000000000000001E-3</v>
      </c>
      <c r="F44" s="5">
        <v>2E-3</v>
      </c>
      <c r="G44" s="5">
        <v>0</v>
      </c>
      <c r="H44" s="5">
        <v>0</v>
      </c>
      <c r="I44" s="5">
        <v>1.1999999999999999E-3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3.0000000000000001E-3</v>
      </c>
      <c r="P44" s="5">
        <v>0</v>
      </c>
      <c r="Q44" s="5">
        <v>0</v>
      </c>
      <c r="R44" s="5">
        <v>0.12</v>
      </c>
      <c r="S44" s="5">
        <v>0</v>
      </c>
      <c r="T44" s="5">
        <v>0</v>
      </c>
      <c r="U44" s="5">
        <v>0.09</v>
      </c>
      <c r="V44" s="5">
        <v>0</v>
      </c>
      <c r="W44" s="5">
        <v>0</v>
      </c>
      <c r="X44" s="5">
        <v>0.09</v>
      </c>
      <c r="Y44" s="5">
        <v>0</v>
      </c>
      <c r="Z44" s="5">
        <v>0</v>
      </c>
      <c r="AA44" s="78">
        <v>1.17E-2</v>
      </c>
      <c r="AB44" s="5">
        <v>0</v>
      </c>
      <c r="AC44" s="5">
        <v>0</v>
      </c>
      <c r="AD44" s="5">
        <v>0</v>
      </c>
      <c r="AE44" s="5">
        <v>0.25</v>
      </c>
      <c r="AF44" s="5">
        <v>0</v>
      </c>
      <c r="AG44" s="5">
        <v>0.03</v>
      </c>
      <c r="AH44" s="5">
        <v>0</v>
      </c>
      <c r="AI44" s="5">
        <v>0</v>
      </c>
      <c r="AJ44" s="5">
        <v>0</v>
      </c>
      <c r="AK44" s="5">
        <v>0.22500000000000001</v>
      </c>
      <c r="AL44" s="5">
        <v>0</v>
      </c>
      <c r="AM44" s="5">
        <v>0</v>
      </c>
      <c r="AN44" s="5">
        <v>0</v>
      </c>
      <c r="AO44" s="5">
        <v>0</v>
      </c>
      <c r="AP44" s="45">
        <f t="shared" si="0"/>
        <v>0.99999999999999989</v>
      </c>
    </row>
    <row r="45" spans="1:42" x14ac:dyDescent="0.25">
      <c r="A45" s="89" t="s">
        <v>470</v>
      </c>
      <c r="B45" s="4" t="s">
        <v>582</v>
      </c>
      <c r="C45" s="4" t="s">
        <v>557</v>
      </c>
      <c r="D45" s="5">
        <v>0.17549999999999999</v>
      </c>
      <c r="E45" s="78">
        <v>1.6000000000000001E-3</v>
      </c>
      <c r="F45" s="5">
        <v>2E-3</v>
      </c>
      <c r="G45" s="5">
        <v>0</v>
      </c>
      <c r="H45" s="5">
        <v>0</v>
      </c>
      <c r="I45" s="5">
        <v>1.1999999999999999E-3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3.0000000000000001E-3</v>
      </c>
      <c r="P45" s="5">
        <v>0</v>
      </c>
      <c r="Q45" s="5">
        <v>0</v>
      </c>
      <c r="R45" s="5">
        <v>0.12</v>
      </c>
      <c r="S45" s="5">
        <v>0</v>
      </c>
      <c r="T45" s="5">
        <v>0</v>
      </c>
      <c r="U45" s="5">
        <v>0.09</v>
      </c>
      <c r="V45" s="5">
        <v>0</v>
      </c>
      <c r="W45" s="5">
        <v>0</v>
      </c>
      <c r="X45" s="5">
        <v>0.09</v>
      </c>
      <c r="Y45" s="5">
        <v>0</v>
      </c>
      <c r="Z45" s="5">
        <v>0</v>
      </c>
      <c r="AA45" s="78">
        <v>1.17E-2</v>
      </c>
      <c r="AB45" s="5">
        <v>0</v>
      </c>
      <c r="AC45" s="5">
        <v>0</v>
      </c>
      <c r="AD45" s="5">
        <v>0</v>
      </c>
      <c r="AE45" s="5">
        <v>0.25</v>
      </c>
      <c r="AF45" s="5">
        <v>0</v>
      </c>
      <c r="AG45" s="5">
        <v>0.03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0.22500000000000001</v>
      </c>
      <c r="AN45" s="5">
        <v>0</v>
      </c>
      <c r="AO45" s="5">
        <v>0</v>
      </c>
      <c r="AP45" s="45">
        <f t="shared" si="0"/>
        <v>0.99999999999999989</v>
      </c>
    </row>
    <row r="46" spans="1:42" x14ac:dyDescent="0.25">
      <c r="A46" s="89" t="s">
        <v>471</v>
      </c>
      <c r="B46" s="4" t="s">
        <v>582</v>
      </c>
      <c r="C46" s="4" t="s">
        <v>557</v>
      </c>
      <c r="D46" s="5">
        <v>0.16159999999999999</v>
      </c>
      <c r="E46" s="78">
        <v>2E-3</v>
      </c>
      <c r="F46" s="5">
        <v>2E-3</v>
      </c>
      <c r="G46" s="5">
        <v>0</v>
      </c>
      <c r="H46" s="5">
        <v>0</v>
      </c>
      <c r="I46" s="5">
        <v>1.4E-3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3.0000000000000001E-3</v>
      </c>
      <c r="P46" s="5">
        <v>0</v>
      </c>
      <c r="Q46" s="5">
        <v>0</v>
      </c>
      <c r="R46" s="5">
        <v>0.12</v>
      </c>
      <c r="S46" s="5">
        <v>0</v>
      </c>
      <c r="T46" s="5">
        <v>0</v>
      </c>
      <c r="U46" s="5">
        <v>8.5000000000000006E-2</v>
      </c>
      <c r="V46" s="5">
        <v>0</v>
      </c>
      <c r="W46" s="5">
        <v>0</v>
      </c>
      <c r="X46" s="5">
        <v>8.5000000000000006E-2</v>
      </c>
      <c r="Y46" s="5">
        <v>0</v>
      </c>
      <c r="Z46" s="5">
        <v>0</v>
      </c>
      <c r="AA46" s="78">
        <v>1.17E-2</v>
      </c>
      <c r="AB46" s="5">
        <v>0</v>
      </c>
      <c r="AC46" s="5">
        <v>0</v>
      </c>
      <c r="AD46" s="5">
        <v>0</v>
      </c>
      <c r="AE46" s="5">
        <v>0.25</v>
      </c>
      <c r="AF46" s="5">
        <v>0</v>
      </c>
      <c r="AG46" s="5">
        <v>0.03</v>
      </c>
      <c r="AH46" s="5">
        <v>0</v>
      </c>
      <c r="AI46" s="5">
        <v>0</v>
      </c>
      <c r="AJ46" s="5">
        <v>0</v>
      </c>
      <c r="AK46" s="5">
        <v>0.25</v>
      </c>
      <c r="AL46" s="5">
        <v>0</v>
      </c>
      <c r="AM46" s="5">
        <v>0</v>
      </c>
      <c r="AN46" s="5">
        <v>0</v>
      </c>
      <c r="AO46" s="5">
        <v>0</v>
      </c>
      <c r="AP46" s="45">
        <f t="shared" si="0"/>
        <v>1.0017</v>
      </c>
    </row>
    <row r="47" spans="1:42" x14ac:dyDescent="0.25">
      <c r="A47" s="89" t="s">
        <v>472</v>
      </c>
      <c r="B47" s="4" t="s">
        <v>582</v>
      </c>
      <c r="C47" s="4" t="s">
        <v>557</v>
      </c>
      <c r="D47" s="5">
        <v>0.16159999999999999</v>
      </c>
      <c r="E47" s="78">
        <v>2E-3</v>
      </c>
      <c r="F47" s="5">
        <v>2E-3</v>
      </c>
      <c r="G47" s="5">
        <v>0</v>
      </c>
      <c r="H47" s="5">
        <v>0</v>
      </c>
      <c r="I47" s="5">
        <v>1.4E-3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3.0000000000000001E-3</v>
      </c>
      <c r="P47" s="5">
        <v>0</v>
      </c>
      <c r="Q47" s="5">
        <v>0</v>
      </c>
      <c r="R47" s="5">
        <v>0.12</v>
      </c>
      <c r="S47" s="5">
        <v>0</v>
      </c>
      <c r="T47" s="5">
        <v>0</v>
      </c>
      <c r="U47" s="5">
        <v>8.5000000000000006E-2</v>
      </c>
      <c r="V47" s="5">
        <v>0</v>
      </c>
      <c r="W47" s="5">
        <v>0</v>
      </c>
      <c r="X47" s="5">
        <v>8.5000000000000006E-2</v>
      </c>
      <c r="Y47" s="5">
        <v>0</v>
      </c>
      <c r="Z47" s="5">
        <v>0</v>
      </c>
      <c r="AA47" s="5">
        <v>7.0000000000000001E-3</v>
      </c>
      <c r="AB47" s="5">
        <v>0</v>
      </c>
      <c r="AC47" s="5">
        <v>0</v>
      </c>
      <c r="AD47" s="5">
        <v>0</v>
      </c>
      <c r="AE47" s="5">
        <v>0.25</v>
      </c>
      <c r="AF47" s="5">
        <v>0</v>
      </c>
      <c r="AG47" s="5">
        <v>0.03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0.253</v>
      </c>
      <c r="AN47" s="5">
        <v>0</v>
      </c>
      <c r="AO47" s="5">
        <v>0</v>
      </c>
      <c r="AP47" s="45">
        <f t="shared" si="0"/>
        <v>1</v>
      </c>
    </row>
    <row r="48" spans="1:42" x14ac:dyDescent="0.25">
      <c r="A48" s="89" t="s">
        <v>473</v>
      </c>
      <c r="B48" s="4" t="s">
        <v>582</v>
      </c>
      <c r="C48" s="4" t="s">
        <v>557</v>
      </c>
      <c r="D48" s="5">
        <v>0.16159999999999999</v>
      </c>
      <c r="E48" s="78">
        <v>2E-3</v>
      </c>
      <c r="F48" s="5">
        <v>2E-3</v>
      </c>
      <c r="G48" s="5">
        <v>0</v>
      </c>
      <c r="H48" s="5">
        <v>0</v>
      </c>
      <c r="I48" s="5">
        <v>1.4E-3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3.0000000000000001E-3</v>
      </c>
      <c r="P48" s="5">
        <v>0</v>
      </c>
      <c r="Q48" s="5">
        <v>0</v>
      </c>
      <c r="R48" s="5">
        <v>0.12</v>
      </c>
      <c r="S48" s="5">
        <v>0</v>
      </c>
      <c r="T48" s="5">
        <v>0</v>
      </c>
      <c r="U48" s="5">
        <v>8.5000000000000006E-2</v>
      </c>
      <c r="V48" s="5">
        <v>0</v>
      </c>
      <c r="W48" s="5">
        <v>0</v>
      </c>
      <c r="X48" s="5">
        <v>8.5000000000000006E-2</v>
      </c>
      <c r="Y48" s="5">
        <v>0</v>
      </c>
      <c r="Z48" s="5">
        <v>0</v>
      </c>
      <c r="AA48" s="5">
        <v>7.0000000000000001E-3</v>
      </c>
      <c r="AB48" s="5">
        <v>0</v>
      </c>
      <c r="AC48" s="5">
        <v>0.25</v>
      </c>
      <c r="AD48" s="5">
        <v>0</v>
      </c>
      <c r="AE48" s="5">
        <v>0</v>
      </c>
      <c r="AF48" s="5">
        <v>0</v>
      </c>
      <c r="AG48" s="5">
        <v>0.03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0.253</v>
      </c>
      <c r="AN48" s="5">
        <v>0</v>
      </c>
      <c r="AO48" s="5">
        <v>0</v>
      </c>
      <c r="AP48" s="45">
        <f t="shared" si="0"/>
        <v>1</v>
      </c>
    </row>
    <row r="49" spans="1:42" x14ac:dyDescent="0.25">
      <c r="A49" s="89" t="s">
        <v>474</v>
      </c>
      <c r="B49" s="4" t="s">
        <v>582</v>
      </c>
      <c r="C49" s="4" t="s">
        <v>557</v>
      </c>
      <c r="D49" s="5">
        <v>0.16159999999999999</v>
      </c>
      <c r="E49" s="78">
        <v>2E-3</v>
      </c>
      <c r="F49" s="5">
        <v>2E-3</v>
      </c>
      <c r="G49" s="5">
        <v>0</v>
      </c>
      <c r="H49" s="5">
        <v>0</v>
      </c>
      <c r="I49" s="5">
        <v>1.4E-3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3.0000000000000001E-3</v>
      </c>
      <c r="P49" s="5">
        <v>0</v>
      </c>
      <c r="Q49" s="5">
        <v>0</v>
      </c>
      <c r="R49" s="5">
        <v>0</v>
      </c>
      <c r="S49" s="5">
        <v>0</v>
      </c>
      <c r="T49" s="5">
        <v>0.12</v>
      </c>
      <c r="U49" s="5">
        <v>8.5000000000000006E-2</v>
      </c>
      <c r="V49" s="5">
        <v>0</v>
      </c>
      <c r="W49" s="5">
        <v>0</v>
      </c>
      <c r="X49" s="5">
        <v>8.5000000000000006E-2</v>
      </c>
      <c r="Y49" s="5">
        <v>0</v>
      </c>
      <c r="Z49" s="5">
        <v>0</v>
      </c>
      <c r="AA49" s="5">
        <v>7.0000000000000001E-3</v>
      </c>
      <c r="AB49" s="5">
        <v>0</v>
      </c>
      <c r="AC49" s="5">
        <v>0</v>
      </c>
      <c r="AD49" s="5">
        <v>0</v>
      </c>
      <c r="AE49" s="5">
        <v>0.25</v>
      </c>
      <c r="AF49" s="5">
        <v>0</v>
      </c>
      <c r="AG49" s="5">
        <v>0.03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0.253</v>
      </c>
      <c r="AN49" s="5">
        <v>0</v>
      </c>
      <c r="AO49" s="5">
        <v>0</v>
      </c>
      <c r="AP49" s="45">
        <f t="shared" si="0"/>
        <v>1</v>
      </c>
    </row>
    <row r="50" spans="1:42" x14ac:dyDescent="0.25">
      <c r="A50" s="89" t="s">
        <v>475</v>
      </c>
      <c r="B50" s="4" t="s">
        <v>582</v>
      </c>
      <c r="C50" s="4" t="s">
        <v>557</v>
      </c>
      <c r="D50" s="5">
        <v>0.16159999999999999</v>
      </c>
      <c r="E50" s="78">
        <v>2E-3</v>
      </c>
      <c r="F50" s="5">
        <v>2E-3</v>
      </c>
      <c r="G50" s="5">
        <v>0</v>
      </c>
      <c r="H50" s="5">
        <v>0</v>
      </c>
      <c r="I50" s="5">
        <v>1.4E-3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3.0000000000000001E-3</v>
      </c>
      <c r="P50" s="5">
        <v>0</v>
      </c>
      <c r="Q50" s="5">
        <v>0</v>
      </c>
      <c r="R50" s="5">
        <v>0</v>
      </c>
      <c r="S50" s="5">
        <v>0</v>
      </c>
      <c r="T50" s="5">
        <v>0.12</v>
      </c>
      <c r="U50" s="5">
        <v>8.5000000000000006E-2</v>
      </c>
      <c r="V50" s="5">
        <v>0</v>
      </c>
      <c r="W50" s="5">
        <v>0</v>
      </c>
      <c r="X50" s="5">
        <v>8.5000000000000006E-2</v>
      </c>
      <c r="Y50" s="5">
        <v>0</v>
      </c>
      <c r="Z50" s="5">
        <v>0</v>
      </c>
      <c r="AA50" s="5">
        <v>7.0000000000000001E-3</v>
      </c>
      <c r="AB50" s="5">
        <v>0</v>
      </c>
      <c r="AC50" s="5">
        <v>0.25</v>
      </c>
      <c r="AD50" s="5">
        <v>0</v>
      </c>
      <c r="AE50" s="5">
        <v>0</v>
      </c>
      <c r="AF50" s="5">
        <v>0</v>
      </c>
      <c r="AG50" s="5">
        <v>0.03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0.253</v>
      </c>
      <c r="AN50" s="5">
        <v>0</v>
      </c>
      <c r="AO50" s="5">
        <v>0</v>
      </c>
      <c r="AP50" s="45">
        <f t="shared" si="0"/>
        <v>1</v>
      </c>
    </row>
    <row r="51" spans="1:42" x14ac:dyDescent="0.25">
      <c r="A51" s="89" t="s">
        <v>476</v>
      </c>
      <c r="B51" s="4" t="s">
        <v>582</v>
      </c>
      <c r="C51" s="4" t="s">
        <v>557</v>
      </c>
      <c r="D51" s="5">
        <v>0.17510000000000001</v>
      </c>
      <c r="E51" s="5">
        <v>1.6000000000000001E-3</v>
      </c>
      <c r="F51" s="5">
        <v>2E-3</v>
      </c>
      <c r="G51" s="5">
        <v>0</v>
      </c>
      <c r="H51" s="5">
        <v>0</v>
      </c>
      <c r="I51" s="5">
        <v>1.6000000000000001E-3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3.0000000000000001E-3</v>
      </c>
      <c r="P51" s="5">
        <v>0</v>
      </c>
      <c r="Q51" s="5">
        <v>0</v>
      </c>
      <c r="R51" s="5">
        <v>0.12</v>
      </c>
      <c r="S51" s="5">
        <v>0</v>
      </c>
      <c r="T51" s="5">
        <v>0</v>
      </c>
      <c r="U51" s="5">
        <v>0.09</v>
      </c>
      <c r="V51" s="5">
        <v>0</v>
      </c>
      <c r="W51" s="5">
        <v>0</v>
      </c>
      <c r="X51" s="5">
        <v>0.09</v>
      </c>
      <c r="Y51" s="5">
        <v>0</v>
      </c>
      <c r="Z51" s="5">
        <v>0</v>
      </c>
      <c r="AA51" s="78">
        <v>1.17E-2</v>
      </c>
      <c r="AB51" s="5">
        <v>0</v>
      </c>
      <c r="AC51" s="5">
        <v>0.25</v>
      </c>
      <c r="AD51" s="5">
        <v>0</v>
      </c>
      <c r="AE51" s="5">
        <v>0</v>
      </c>
      <c r="AF51" s="5">
        <v>0</v>
      </c>
      <c r="AG51" s="5">
        <v>0.03</v>
      </c>
      <c r="AH51" s="5">
        <v>0</v>
      </c>
      <c r="AI51" s="5">
        <v>0</v>
      </c>
      <c r="AJ51" s="5">
        <v>0</v>
      </c>
      <c r="AK51" s="5">
        <v>0.22500000000000001</v>
      </c>
      <c r="AL51" s="5">
        <v>0</v>
      </c>
      <c r="AM51" s="5">
        <v>0</v>
      </c>
      <c r="AN51" s="5">
        <v>0</v>
      </c>
      <c r="AO51" s="5">
        <v>0</v>
      </c>
      <c r="AP51" s="45">
        <f t="shared" si="0"/>
        <v>0.99999999999999989</v>
      </c>
    </row>
    <row r="52" spans="1:42" x14ac:dyDescent="0.25">
      <c r="A52" s="89" t="s">
        <v>477</v>
      </c>
      <c r="B52" s="4" t="s">
        <v>582</v>
      </c>
      <c r="C52" s="4" t="s">
        <v>557</v>
      </c>
      <c r="D52" s="5">
        <v>0.15529999999999999</v>
      </c>
      <c r="E52" s="5">
        <v>1.6000000000000001E-3</v>
      </c>
      <c r="F52" s="5">
        <v>2E-3</v>
      </c>
      <c r="G52" s="5">
        <v>0</v>
      </c>
      <c r="H52" s="5">
        <v>0</v>
      </c>
      <c r="I52" s="5">
        <v>1.9E-3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2.5000000000000001E-3</v>
      </c>
      <c r="P52" s="5">
        <v>0</v>
      </c>
      <c r="Q52" s="5">
        <v>0</v>
      </c>
      <c r="R52" s="5">
        <v>0.12</v>
      </c>
      <c r="S52" s="5">
        <v>0</v>
      </c>
      <c r="T52" s="5">
        <v>0</v>
      </c>
      <c r="U52" s="5">
        <v>0.1</v>
      </c>
      <c r="V52" s="5">
        <v>0</v>
      </c>
      <c r="W52" s="5">
        <v>0</v>
      </c>
      <c r="X52" s="5">
        <v>0.1</v>
      </c>
      <c r="Y52" s="5">
        <v>0</v>
      </c>
      <c r="Z52" s="5">
        <v>0</v>
      </c>
      <c r="AA52" s="78">
        <v>1.17E-2</v>
      </c>
      <c r="AB52" s="5">
        <v>0</v>
      </c>
      <c r="AC52" s="5">
        <v>0.24</v>
      </c>
      <c r="AD52" s="5">
        <v>0</v>
      </c>
      <c r="AE52" s="5">
        <v>0</v>
      </c>
      <c r="AF52" s="5">
        <v>0</v>
      </c>
      <c r="AG52" s="5">
        <v>0.03</v>
      </c>
      <c r="AH52" s="5">
        <v>0</v>
      </c>
      <c r="AI52" s="5">
        <v>0.02</v>
      </c>
      <c r="AJ52" s="5">
        <v>0</v>
      </c>
      <c r="AK52" s="5">
        <v>0</v>
      </c>
      <c r="AL52" s="5">
        <v>0</v>
      </c>
      <c r="AM52" s="5">
        <v>0.215</v>
      </c>
      <c r="AN52" s="5">
        <v>0</v>
      </c>
      <c r="AO52" s="5">
        <v>0</v>
      </c>
      <c r="AP52" s="45">
        <f t="shared" si="0"/>
        <v>0.99999999999999989</v>
      </c>
    </row>
    <row r="53" spans="1:42" x14ac:dyDescent="0.25">
      <c r="A53" s="109" t="s">
        <v>478</v>
      </c>
      <c r="B53" s="109"/>
      <c r="C53" s="109"/>
      <c r="D53" s="110"/>
      <c r="E53" s="110"/>
      <c r="F53" s="110"/>
      <c r="G53" s="110"/>
      <c r="H53" s="110"/>
      <c r="I53" s="110"/>
      <c r="J53" s="110"/>
      <c r="K53" s="110"/>
      <c r="L53" s="110"/>
      <c r="M53" s="110"/>
      <c r="N53" s="110"/>
      <c r="O53" s="110"/>
      <c r="P53" s="110"/>
      <c r="Q53" s="110"/>
      <c r="R53" s="110"/>
      <c r="S53" s="110"/>
      <c r="T53" s="110"/>
      <c r="U53" s="110"/>
      <c r="V53" s="110"/>
      <c r="W53" s="110"/>
      <c r="X53" s="110"/>
      <c r="Y53" s="110"/>
      <c r="Z53" s="110"/>
      <c r="AA53" s="110"/>
      <c r="AB53" s="110"/>
      <c r="AC53" s="110"/>
      <c r="AD53" s="110"/>
      <c r="AE53" s="110"/>
      <c r="AF53" s="110"/>
      <c r="AG53" s="110"/>
      <c r="AH53" s="110"/>
      <c r="AI53" s="110"/>
      <c r="AJ53" s="110"/>
      <c r="AK53" s="110"/>
      <c r="AL53" s="110"/>
      <c r="AM53" s="110"/>
      <c r="AN53" s="110"/>
      <c r="AO53" s="110"/>
      <c r="AP53" s="111">
        <f t="shared" si="0"/>
        <v>0</v>
      </c>
    </row>
    <row r="54" spans="1:42" x14ac:dyDescent="0.25">
      <c r="A54" s="4" t="s">
        <v>479</v>
      </c>
      <c r="B54" s="4" t="s">
        <v>582</v>
      </c>
      <c r="C54" s="4" t="s">
        <v>557</v>
      </c>
      <c r="D54" s="5">
        <v>0.156</v>
      </c>
      <c r="E54" s="5">
        <v>1.6000000000000001E-3</v>
      </c>
      <c r="F54" s="5">
        <v>2E-3</v>
      </c>
      <c r="G54" s="5">
        <v>0</v>
      </c>
      <c r="H54" s="5">
        <v>0</v>
      </c>
      <c r="I54" s="5">
        <v>1.1999999999999999E-3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2.5000000000000001E-3</v>
      </c>
      <c r="P54" s="5">
        <v>0</v>
      </c>
      <c r="Q54" s="5">
        <v>0</v>
      </c>
      <c r="R54" s="5">
        <v>0.12</v>
      </c>
      <c r="S54" s="5">
        <v>0</v>
      </c>
      <c r="T54" s="5">
        <v>0</v>
      </c>
      <c r="U54" s="5">
        <v>0.09</v>
      </c>
      <c r="V54" s="5">
        <v>0</v>
      </c>
      <c r="W54" s="5">
        <v>0</v>
      </c>
      <c r="X54" s="5">
        <v>0.09</v>
      </c>
      <c r="Y54" s="5">
        <v>0</v>
      </c>
      <c r="Z54" s="5">
        <v>0</v>
      </c>
      <c r="AA54" s="78">
        <v>1.17E-2</v>
      </c>
      <c r="AB54" s="5">
        <v>0</v>
      </c>
      <c r="AC54" s="5">
        <v>0</v>
      </c>
      <c r="AD54" s="5">
        <v>0</v>
      </c>
      <c r="AE54" s="5">
        <v>0.25</v>
      </c>
      <c r="AF54" s="5">
        <v>0</v>
      </c>
      <c r="AG54" s="5">
        <v>0.03</v>
      </c>
      <c r="AH54" s="5">
        <v>0</v>
      </c>
      <c r="AI54" s="5">
        <v>0.02</v>
      </c>
      <c r="AJ54" s="5">
        <v>0</v>
      </c>
      <c r="AK54" s="5">
        <v>0</v>
      </c>
      <c r="AL54" s="5">
        <v>0</v>
      </c>
      <c r="AM54" s="5">
        <v>0.22500000000000001</v>
      </c>
      <c r="AN54" s="5">
        <v>0</v>
      </c>
      <c r="AO54" s="5">
        <v>0</v>
      </c>
      <c r="AP54" s="45">
        <f t="shared" si="0"/>
        <v>0.99999999999999989</v>
      </c>
    </row>
    <row r="55" spans="1:42" x14ac:dyDescent="0.25">
      <c r="A55" s="4" t="s">
        <v>480</v>
      </c>
      <c r="B55" s="4" t="s">
        <v>582</v>
      </c>
      <c r="C55" s="4" t="s">
        <v>557</v>
      </c>
      <c r="D55" s="5">
        <v>0.17549999999999999</v>
      </c>
      <c r="E55" s="5">
        <v>1.6000000000000001E-3</v>
      </c>
      <c r="F55" s="5">
        <v>2E-3</v>
      </c>
      <c r="G55" s="5">
        <v>0</v>
      </c>
      <c r="H55" s="5">
        <v>0</v>
      </c>
      <c r="I55" s="5">
        <v>1.1999999999999999E-3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3.0000000000000001E-3</v>
      </c>
      <c r="P55" s="5">
        <v>0</v>
      </c>
      <c r="Q55" s="5">
        <v>0</v>
      </c>
      <c r="R55" s="5">
        <v>0.12</v>
      </c>
      <c r="S55" s="5">
        <v>0</v>
      </c>
      <c r="T55" s="5">
        <v>0</v>
      </c>
      <c r="U55" s="5">
        <v>0.09</v>
      </c>
      <c r="V55" s="5">
        <v>0</v>
      </c>
      <c r="W55" s="5">
        <v>0</v>
      </c>
      <c r="X55" s="5">
        <v>0.09</v>
      </c>
      <c r="Y55" s="5">
        <v>0</v>
      </c>
      <c r="Z55" s="5">
        <v>0</v>
      </c>
      <c r="AA55" s="78">
        <v>1.17E-2</v>
      </c>
      <c r="AB55" s="5">
        <v>0</v>
      </c>
      <c r="AC55" s="5">
        <v>0</v>
      </c>
      <c r="AD55" s="5">
        <v>0</v>
      </c>
      <c r="AE55" s="5">
        <v>0.25</v>
      </c>
      <c r="AF55" s="5">
        <v>0</v>
      </c>
      <c r="AG55" s="5">
        <v>0.03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0.22500000000000001</v>
      </c>
      <c r="AO55" s="5">
        <v>0</v>
      </c>
      <c r="AP55" s="45">
        <f t="shared" si="0"/>
        <v>0.99999999999999989</v>
      </c>
    </row>
    <row r="56" spans="1:42" x14ac:dyDescent="0.25">
      <c r="A56" s="4" t="s">
        <v>481</v>
      </c>
      <c r="B56" s="4" t="s">
        <v>582</v>
      </c>
      <c r="C56" s="4" t="s">
        <v>557</v>
      </c>
      <c r="D56" s="5">
        <v>0.156</v>
      </c>
      <c r="E56" s="5">
        <v>1.6000000000000001E-3</v>
      </c>
      <c r="F56" s="5">
        <v>2E-3</v>
      </c>
      <c r="G56" s="5">
        <v>0</v>
      </c>
      <c r="H56" s="5">
        <v>0</v>
      </c>
      <c r="I56" s="5">
        <v>1.1999999999999999E-3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2.5000000000000001E-3</v>
      </c>
      <c r="P56" s="5">
        <v>0</v>
      </c>
      <c r="Q56" s="5">
        <v>0</v>
      </c>
      <c r="R56" s="5">
        <v>0.12</v>
      </c>
      <c r="S56" s="5">
        <v>0</v>
      </c>
      <c r="T56" s="5">
        <v>0</v>
      </c>
      <c r="U56" s="5">
        <v>0.09</v>
      </c>
      <c r="V56" s="5">
        <v>0</v>
      </c>
      <c r="W56" s="5">
        <v>0</v>
      </c>
      <c r="X56" s="5">
        <v>0.09</v>
      </c>
      <c r="Y56" s="5">
        <v>0</v>
      </c>
      <c r="Z56" s="5">
        <v>0</v>
      </c>
      <c r="AA56" s="78">
        <v>1.17E-2</v>
      </c>
      <c r="AB56" s="5">
        <v>0</v>
      </c>
      <c r="AC56" s="5">
        <v>0</v>
      </c>
      <c r="AD56" s="5">
        <v>0</v>
      </c>
      <c r="AE56" s="5">
        <v>0.25</v>
      </c>
      <c r="AF56" s="5">
        <v>0</v>
      </c>
      <c r="AG56" s="5">
        <v>0.03</v>
      </c>
      <c r="AH56" s="5">
        <v>0</v>
      </c>
      <c r="AI56" s="5">
        <v>0.02</v>
      </c>
      <c r="AJ56" s="5">
        <v>0</v>
      </c>
      <c r="AK56" s="5">
        <v>0</v>
      </c>
      <c r="AL56" s="5">
        <v>0</v>
      </c>
      <c r="AM56" s="5">
        <v>0</v>
      </c>
      <c r="AN56" s="5">
        <v>0.22500000000000001</v>
      </c>
      <c r="AO56" s="5">
        <v>0</v>
      </c>
      <c r="AP56" s="45">
        <f t="shared" si="0"/>
        <v>0.99999999999999989</v>
      </c>
    </row>
    <row r="57" spans="1:42" x14ac:dyDescent="0.25">
      <c r="A57" s="4" t="s">
        <v>482</v>
      </c>
      <c r="B57" s="4" t="s">
        <v>582</v>
      </c>
      <c r="C57" s="4" t="s">
        <v>557</v>
      </c>
      <c r="D57" s="5">
        <v>0.17510000000000001</v>
      </c>
      <c r="E57" s="5">
        <v>1.6000000000000001E-3</v>
      </c>
      <c r="F57" s="5">
        <v>2E-3</v>
      </c>
      <c r="G57" s="5">
        <v>0</v>
      </c>
      <c r="H57" s="5">
        <v>0</v>
      </c>
      <c r="I57" s="5">
        <v>1.6000000000000001E-3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3.0000000000000001E-3</v>
      </c>
      <c r="P57" s="5">
        <v>0</v>
      </c>
      <c r="Q57" s="5">
        <v>0</v>
      </c>
      <c r="R57" s="5">
        <v>0</v>
      </c>
      <c r="S57" s="5">
        <v>0</v>
      </c>
      <c r="T57" s="5">
        <v>0.12</v>
      </c>
      <c r="U57" s="5">
        <v>0.09</v>
      </c>
      <c r="V57" s="5">
        <v>0</v>
      </c>
      <c r="W57" s="5">
        <v>0</v>
      </c>
      <c r="X57" s="5">
        <v>8.5000000000000006E-2</v>
      </c>
      <c r="Y57" s="5">
        <v>0</v>
      </c>
      <c r="Z57" s="5">
        <v>0</v>
      </c>
      <c r="AA57" s="78">
        <v>1.17E-2</v>
      </c>
      <c r="AB57" s="5">
        <v>0</v>
      </c>
      <c r="AC57" s="5">
        <v>0.255</v>
      </c>
      <c r="AD57" s="5">
        <v>0</v>
      </c>
      <c r="AE57" s="5">
        <v>0</v>
      </c>
      <c r="AF57" s="5">
        <v>0</v>
      </c>
      <c r="AG57" s="5">
        <v>0.03</v>
      </c>
      <c r="AH57" s="5">
        <v>0</v>
      </c>
      <c r="AI57" s="5">
        <v>0</v>
      </c>
      <c r="AJ57" s="5">
        <v>0</v>
      </c>
      <c r="AK57" s="5">
        <v>0.22500000000000001</v>
      </c>
      <c r="AL57" s="5">
        <v>0</v>
      </c>
      <c r="AM57" s="5">
        <v>0</v>
      </c>
      <c r="AN57" s="5">
        <v>0</v>
      </c>
      <c r="AO57" s="5">
        <v>0</v>
      </c>
      <c r="AP57" s="45">
        <f t="shared" si="0"/>
        <v>1</v>
      </c>
    </row>
    <row r="58" spans="1:42" x14ac:dyDescent="0.25">
      <c r="A58" s="4" t="s">
        <v>483</v>
      </c>
      <c r="B58" s="4" t="s">
        <v>582</v>
      </c>
      <c r="C58" s="4" t="s">
        <v>557</v>
      </c>
      <c r="D58" s="5">
        <v>0.17510000000000001</v>
      </c>
      <c r="E58" s="5">
        <v>1.6000000000000001E-3</v>
      </c>
      <c r="F58" s="5">
        <v>2E-3</v>
      </c>
      <c r="G58" s="5">
        <v>0</v>
      </c>
      <c r="H58" s="5">
        <v>0</v>
      </c>
      <c r="I58" s="5">
        <v>1.6000000000000001E-3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3.0000000000000001E-3</v>
      </c>
      <c r="P58" s="5">
        <v>0</v>
      </c>
      <c r="Q58" s="5">
        <v>0</v>
      </c>
      <c r="R58" s="5">
        <v>0</v>
      </c>
      <c r="S58" s="5">
        <v>0</v>
      </c>
      <c r="T58" s="5">
        <v>0.12</v>
      </c>
      <c r="U58" s="5">
        <v>0.09</v>
      </c>
      <c r="V58" s="5">
        <v>0</v>
      </c>
      <c r="W58" s="5">
        <v>0</v>
      </c>
      <c r="X58" s="5">
        <v>8.5000000000000006E-2</v>
      </c>
      <c r="Y58" s="5">
        <v>0</v>
      </c>
      <c r="Z58" s="5">
        <v>0</v>
      </c>
      <c r="AA58" s="78">
        <v>1.17E-2</v>
      </c>
      <c r="AB58" s="5">
        <v>0</v>
      </c>
      <c r="AC58" s="5">
        <v>0.255</v>
      </c>
      <c r="AD58" s="5">
        <v>0</v>
      </c>
      <c r="AE58" s="5">
        <v>0</v>
      </c>
      <c r="AF58" s="5">
        <v>0</v>
      </c>
      <c r="AG58" s="5">
        <v>0.03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0.22500000000000001</v>
      </c>
      <c r="AN58" s="5">
        <v>0</v>
      </c>
      <c r="AO58" s="5">
        <v>0</v>
      </c>
      <c r="AP58" s="45">
        <f t="shared" si="0"/>
        <v>1</v>
      </c>
    </row>
    <row r="59" spans="1:42" x14ac:dyDescent="0.25">
      <c r="A59" s="4" t="s">
        <v>484</v>
      </c>
      <c r="B59" s="4" t="s">
        <v>582</v>
      </c>
      <c r="C59" s="4" t="s">
        <v>557</v>
      </c>
      <c r="D59" s="5">
        <v>0.12559999999999999</v>
      </c>
      <c r="E59" s="5">
        <v>1.6000000000000001E-3</v>
      </c>
      <c r="F59" s="5">
        <v>0</v>
      </c>
      <c r="G59" s="5">
        <v>2E-3</v>
      </c>
      <c r="H59" s="5">
        <v>0</v>
      </c>
      <c r="I59" s="5">
        <v>1.6000000000000001E-3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2.5000000000000001E-3</v>
      </c>
      <c r="P59" s="5">
        <v>0</v>
      </c>
      <c r="Q59" s="5">
        <v>0</v>
      </c>
      <c r="R59" s="5">
        <v>0.12</v>
      </c>
      <c r="S59" s="5">
        <v>0</v>
      </c>
      <c r="T59" s="5">
        <v>0</v>
      </c>
      <c r="U59" s="5">
        <v>0.1</v>
      </c>
      <c r="V59" s="5">
        <v>0</v>
      </c>
      <c r="W59" s="5">
        <v>0</v>
      </c>
      <c r="X59" s="5">
        <v>0.1</v>
      </c>
      <c r="Y59" s="5">
        <v>0</v>
      </c>
      <c r="Z59" s="5">
        <v>0</v>
      </c>
      <c r="AA59" s="78">
        <v>1.17E-2</v>
      </c>
      <c r="AB59" s="5">
        <v>0</v>
      </c>
      <c r="AC59" s="5">
        <v>0.25</v>
      </c>
      <c r="AD59" s="5">
        <v>0</v>
      </c>
      <c r="AE59" s="5">
        <v>0</v>
      </c>
      <c r="AF59" s="5">
        <v>0</v>
      </c>
      <c r="AG59" s="5">
        <v>0.03</v>
      </c>
      <c r="AH59" s="5">
        <v>0</v>
      </c>
      <c r="AI59" s="5">
        <v>0.03</v>
      </c>
      <c r="AJ59" s="5">
        <v>0</v>
      </c>
      <c r="AK59" s="5">
        <v>0.22500000000000001</v>
      </c>
      <c r="AL59" s="5">
        <v>0</v>
      </c>
      <c r="AM59" s="5">
        <v>0</v>
      </c>
      <c r="AN59" s="5">
        <v>0</v>
      </c>
      <c r="AO59" s="5">
        <v>0</v>
      </c>
      <c r="AP59" s="45">
        <f t="shared" si="0"/>
        <v>0.99999999999999989</v>
      </c>
    </row>
    <row r="60" spans="1:42" x14ac:dyDescent="0.25">
      <c r="A60" s="4" t="s">
        <v>486</v>
      </c>
      <c r="B60" s="4" t="s">
        <v>582</v>
      </c>
      <c r="C60" s="4" t="s">
        <v>557</v>
      </c>
      <c r="D60" s="5">
        <v>0.14560000000000001</v>
      </c>
      <c r="E60" s="5">
        <v>1.6000000000000001E-3</v>
      </c>
      <c r="F60" s="5">
        <v>0</v>
      </c>
      <c r="G60" s="5">
        <v>2E-3</v>
      </c>
      <c r="H60" s="5">
        <v>0</v>
      </c>
      <c r="I60" s="5">
        <v>1.6000000000000001E-3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2.5000000000000001E-3</v>
      </c>
      <c r="P60" s="5">
        <v>0</v>
      </c>
      <c r="Q60" s="5">
        <v>0</v>
      </c>
      <c r="R60" s="5">
        <v>0.12</v>
      </c>
      <c r="S60" s="5">
        <v>0</v>
      </c>
      <c r="T60" s="5">
        <v>0</v>
      </c>
      <c r="U60" s="5">
        <v>0.1</v>
      </c>
      <c r="V60" s="5">
        <v>0</v>
      </c>
      <c r="W60" s="5">
        <v>0</v>
      </c>
      <c r="X60" s="5">
        <v>0.1</v>
      </c>
      <c r="Y60" s="5">
        <v>0</v>
      </c>
      <c r="Z60" s="5">
        <v>0</v>
      </c>
      <c r="AA60" s="78">
        <v>1.17E-2</v>
      </c>
      <c r="AB60" s="5">
        <v>0</v>
      </c>
      <c r="AC60" s="5">
        <v>0.25</v>
      </c>
      <c r="AD60" s="5">
        <v>0</v>
      </c>
      <c r="AE60" s="5">
        <v>0</v>
      </c>
      <c r="AF60" s="5">
        <v>0</v>
      </c>
      <c r="AG60" s="5">
        <v>0.03</v>
      </c>
      <c r="AH60" s="5">
        <v>0</v>
      </c>
      <c r="AI60" s="5">
        <v>0.01</v>
      </c>
      <c r="AJ60" s="5">
        <v>0</v>
      </c>
      <c r="AK60" s="5">
        <v>0.22500000000000001</v>
      </c>
      <c r="AL60" s="5">
        <v>0</v>
      </c>
      <c r="AM60" s="5">
        <v>0</v>
      </c>
      <c r="AN60" s="5">
        <v>0</v>
      </c>
      <c r="AO60" s="5">
        <v>0</v>
      </c>
      <c r="AP60" s="45">
        <f t="shared" si="0"/>
        <v>0.99999999999999989</v>
      </c>
    </row>
    <row r="61" spans="1:42" x14ac:dyDescent="0.25">
      <c r="A61" s="4" t="s">
        <v>487</v>
      </c>
      <c r="B61" s="4" t="s">
        <v>582</v>
      </c>
      <c r="C61" s="4" t="s">
        <v>557</v>
      </c>
      <c r="D61" s="5">
        <v>0.1173</v>
      </c>
      <c r="E61" s="5">
        <v>1.6000000000000001E-3</v>
      </c>
      <c r="F61" s="5">
        <v>0</v>
      </c>
      <c r="G61" s="5">
        <v>1.6999999999999999E-3</v>
      </c>
      <c r="H61" s="5">
        <v>0</v>
      </c>
      <c r="I61" s="5">
        <v>1.9E-3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2.5000000000000001E-3</v>
      </c>
      <c r="P61" s="5">
        <v>0</v>
      </c>
      <c r="Q61" s="5">
        <v>0</v>
      </c>
      <c r="R61" s="5">
        <v>0.12</v>
      </c>
      <c r="S61" s="5">
        <v>0</v>
      </c>
      <c r="T61" s="5">
        <v>0</v>
      </c>
      <c r="U61" s="5">
        <v>0.1</v>
      </c>
      <c r="V61" s="5">
        <v>0</v>
      </c>
      <c r="W61" s="5">
        <v>0</v>
      </c>
      <c r="X61" s="5">
        <v>0.1</v>
      </c>
      <c r="Y61" s="5">
        <v>0</v>
      </c>
      <c r="Z61" s="5">
        <v>0</v>
      </c>
      <c r="AA61" s="78">
        <v>0</v>
      </c>
      <c r="AB61" s="5">
        <v>0</v>
      </c>
      <c r="AC61" s="5">
        <v>0.25</v>
      </c>
      <c r="AD61" s="5">
        <v>0</v>
      </c>
      <c r="AE61" s="5">
        <v>0</v>
      </c>
      <c r="AF61" s="5">
        <v>0</v>
      </c>
      <c r="AG61" s="5">
        <v>0.03</v>
      </c>
      <c r="AH61" s="5">
        <v>0</v>
      </c>
      <c r="AI61" s="5">
        <v>0.03</v>
      </c>
      <c r="AJ61" s="5">
        <v>0</v>
      </c>
      <c r="AK61" s="5">
        <v>0</v>
      </c>
      <c r="AL61" s="5">
        <v>0</v>
      </c>
      <c r="AM61" s="5">
        <v>0.245</v>
      </c>
      <c r="AN61" s="5">
        <v>0</v>
      </c>
      <c r="AO61" s="5">
        <v>0</v>
      </c>
      <c r="AP61" s="45">
        <f t="shared" si="0"/>
        <v>1</v>
      </c>
    </row>
    <row r="62" spans="1:42" x14ac:dyDescent="0.25">
      <c r="A62" s="4" t="s">
        <v>488</v>
      </c>
      <c r="B62" s="4" t="s">
        <v>582</v>
      </c>
      <c r="C62" s="4" t="s">
        <v>557</v>
      </c>
      <c r="D62" s="5">
        <v>0.13730000000000001</v>
      </c>
      <c r="E62" s="5">
        <v>1.6000000000000001E-3</v>
      </c>
      <c r="F62" s="5">
        <v>0</v>
      </c>
      <c r="G62" s="5">
        <v>1.6999999999999999E-3</v>
      </c>
      <c r="H62" s="5">
        <v>0</v>
      </c>
      <c r="I62" s="5">
        <v>1.9E-3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2.5000000000000001E-3</v>
      </c>
      <c r="P62" s="5">
        <v>0</v>
      </c>
      <c r="Q62" s="5">
        <v>0</v>
      </c>
      <c r="R62" s="5">
        <v>0.12</v>
      </c>
      <c r="S62" s="5">
        <v>0</v>
      </c>
      <c r="T62" s="5">
        <v>0</v>
      </c>
      <c r="U62" s="5">
        <v>0.1</v>
      </c>
      <c r="V62" s="5">
        <v>0</v>
      </c>
      <c r="W62" s="5">
        <v>0</v>
      </c>
      <c r="X62" s="5">
        <v>0.1</v>
      </c>
      <c r="Y62" s="5">
        <v>0</v>
      </c>
      <c r="Z62" s="5">
        <v>0</v>
      </c>
      <c r="AA62" s="78">
        <v>0</v>
      </c>
      <c r="AB62" s="5">
        <v>0</v>
      </c>
      <c r="AC62" s="5">
        <v>0.25</v>
      </c>
      <c r="AD62" s="5">
        <v>0</v>
      </c>
      <c r="AE62" s="5">
        <v>0</v>
      </c>
      <c r="AF62" s="5">
        <v>0</v>
      </c>
      <c r="AG62" s="5">
        <v>0.03</v>
      </c>
      <c r="AH62" s="5">
        <v>0</v>
      </c>
      <c r="AI62" s="5">
        <v>0.01</v>
      </c>
      <c r="AJ62" s="5">
        <v>0</v>
      </c>
      <c r="AK62" s="5">
        <v>0</v>
      </c>
      <c r="AL62" s="5">
        <v>0</v>
      </c>
      <c r="AM62" s="5">
        <v>0.245</v>
      </c>
      <c r="AN62" s="5">
        <v>0</v>
      </c>
      <c r="AO62" s="5">
        <v>0</v>
      </c>
      <c r="AP62" s="45">
        <f t="shared" si="0"/>
        <v>1</v>
      </c>
    </row>
    <row r="63" spans="1:42" x14ac:dyDescent="0.25">
      <c r="A63" s="4" t="s">
        <v>489</v>
      </c>
      <c r="B63" s="4" t="s">
        <v>582</v>
      </c>
      <c r="C63" s="4" t="s">
        <v>557</v>
      </c>
      <c r="D63" s="5">
        <v>0.12559999999999999</v>
      </c>
      <c r="E63" s="5">
        <v>1.6000000000000001E-3</v>
      </c>
      <c r="F63" s="5">
        <v>0</v>
      </c>
      <c r="G63" s="5">
        <v>2E-3</v>
      </c>
      <c r="H63" s="5">
        <v>0</v>
      </c>
      <c r="I63" s="5">
        <v>1.6000000000000001E-3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2.5000000000000001E-3</v>
      </c>
      <c r="P63" s="5">
        <v>0</v>
      </c>
      <c r="Q63" s="5">
        <v>0</v>
      </c>
      <c r="R63" s="5">
        <v>0.12</v>
      </c>
      <c r="S63" s="5">
        <v>0</v>
      </c>
      <c r="T63" s="5">
        <v>0</v>
      </c>
      <c r="U63" s="5">
        <v>0.1</v>
      </c>
      <c r="V63" s="5">
        <v>0</v>
      </c>
      <c r="W63" s="5">
        <v>0</v>
      </c>
      <c r="X63" s="5">
        <v>0.1</v>
      </c>
      <c r="Y63" s="5">
        <v>0</v>
      </c>
      <c r="Z63" s="5">
        <v>0</v>
      </c>
      <c r="AA63" s="78">
        <v>1.17E-2</v>
      </c>
      <c r="AB63" s="5">
        <v>0</v>
      </c>
      <c r="AC63" s="5">
        <v>0</v>
      </c>
      <c r="AD63" s="5">
        <v>0</v>
      </c>
      <c r="AE63" s="5">
        <v>0.25</v>
      </c>
      <c r="AF63" s="5">
        <v>0</v>
      </c>
      <c r="AG63" s="5">
        <v>0.03</v>
      </c>
      <c r="AH63" s="5">
        <v>0</v>
      </c>
      <c r="AI63" s="5">
        <v>0.03</v>
      </c>
      <c r="AJ63" s="5">
        <v>0</v>
      </c>
      <c r="AK63" s="5">
        <v>0.22500000000000001</v>
      </c>
      <c r="AL63" s="5">
        <v>0</v>
      </c>
      <c r="AM63" s="5">
        <v>0</v>
      </c>
      <c r="AN63" s="5">
        <v>0</v>
      </c>
      <c r="AO63" s="5">
        <v>0</v>
      </c>
      <c r="AP63" s="45">
        <f t="shared" si="0"/>
        <v>0.99999999999999989</v>
      </c>
    </row>
    <row r="64" spans="1:42" x14ac:dyDescent="0.25">
      <c r="A64" s="4" t="s">
        <v>490</v>
      </c>
      <c r="B64" s="4" t="s">
        <v>582</v>
      </c>
      <c r="C64" s="4" t="s">
        <v>557</v>
      </c>
      <c r="D64" s="5">
        <v>0.14560000000000001</v>
      </c>
      <c r="E64" s="5">
        <v>1.6000000000000001E-3</v>
      </c>
      <c r="F64" s="5">
        <v>0</v>
      </c>
      <c r="G64" s="5">
        <v>2E-3</v>
      </c>
      <c r="H64" s="5">
        <v>0</v>
      </c>
      <c r="I64" s="5">
        <v>1.6000000000000001E-3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2.5000000000000001E-3</v>
      </c>
      <c r="P64" s="5">
        <v>0</v>
      </c>
      <c r="Q64" s="5">
        <v>0</v>
      </c>
      <c r="R64" s="5">
        <v>0.12</v>
      </c>
      <c r="S64" s="5">
        <v>0</v>
      </c>
      <c r="T64" s="5">
        <v>0</v>
      </c>
      <c r="U64" s="5">
        <v>0.1</v>
      </c>
      <c r="V64" s="5">
        <v>0</v>
      </c>
      <c r="W64" s="5">
        <v>0</v>
      </c>
      <c r="X64" s="5">
        <v>0.1</v>
      </c>
      <c r="Y64" s="5">
        <v>0</v>
      </c>
      <c r="Z64" s="5">
        <v>0</v>
      </c>
      <c r="AA64" s="78">
        <v>1.17E-2</v>
      </c>
      <c r="AB64" s="5">
        <v>0</v>
      </c>
      <c r="AC64" s="5">
        <v>0</v>
      </c>
      <c r="AD64" s="5">
        <v>0</v>
      </c>
      <c r="AE64" s="5">
        <v>0.25</v>
      </c>
      <c r="AF64" s="5">
        <v>0</v>
      </c>
      <c r="AG64" s="5">
        <v>0.03</v>
      </c>
      <c r="AH64" s="5">
        <v>0</v>
      </c>
      <c r="AI64" s="5">
        <v>0.01</v>
      </c>
      <c r="AJ64" s="5">
        <v>0</v>
      </c>
      <c r="AK64" s="5">
        <v>0.22500000000000001</v>
      </c>
      <c r="AL64" s="5">
        <v>0</v>
      </c>
      <c r="AM64" s="5">
        <v>0</v>
      </c>
      <c r="AN64" s="5">
        <v>0</v>
      </c>
      <c r="AO64" s="5">
        <v>0</v>
      </c>
      <c r="AP64" s="45">
        <f t="shared" si="0"/>
        <v>0.99999999999999989</v>
      </c>
    </row>
    <row r="65" spans="1:42" x14ac:dyDescent="0.25">
      <c r="A65" s="4" t="s">
        <v>491</v>
      </c>
      <c r="B65" s="4" t="s">
        <v>582</v>
      </c>
      <c r="C65" s="4" t="s">
        <v>557</v>
      </c>
      <c r="D65" s="5">
        <v>0.1173</v>
      </c>
      <c r="E65" s="5">
        <v>1.6000000000000001E-3</v>
      </c>
      <c r="F65" s="5">
        <v>0</v>
      </c>
      <c r="G65" s="5">
        <v>1.6999999999999999E-3</v>
      </c>
      <c r="H65" s="5">
        <v>0</v>
      </c>
      <c r="I65" s="5">
        <v>1.9E-3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2.5000000000000001E-3</v>
      </c>
      <c r="P65" s="5">
        <v>0</v>
      </c>
      <c r="Q65" s="5">
        <v>0</v>
      </c>
      <c r="R65" s="5">
        <v>0.12</v>
      </c>
      <c r="S65" s="5">
        <v>0</v>
      </c>
      <c r="T65" s="5">
        <v>0</v>
      </c>
      <c r="U65" s="5">
        <v>0.1</v>
      </c>
      <c r="V65" s="5">
        <v>0</v>
      </c>
      <c r="W65" s="5">
        <v>0</v>
      </c>
      <c r="X65" s="5">
        <v>0.1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0.25</v>
      </c>
      <c r="AF65" s="5">
        <v>0</v>
      </c>
      <c r="AG65" s="5">
        <v>0.03</v>
      </c>
      <c r="AH65" s="5">
        <v>0</v>
      </c>
      <c r="AI65" s="5">
        <v>0.03</v>
      </c>
      <c r="AJ65" s="5">
        <v>0</v>
      </c>
      <c r="AK65" s="5">
        <v>0</v>
      </c>
      <c r="AL65" s="5">
        <v>0</v>
      </c>
      <c r="AM65" s="5">
        <v>0</v>
      </c>
      <c r="AN65" s="5">
        <v>0.245</v>
      </c>
      <c r="AO65" s="5">
        <v>0</v>
      </c>
      <c r="AP65" s="45">
        <f t="shared" si="0"/>
        <v>1</v>
      </c>
    </row>
    <row r="66" spans="1:42" x14ac:dyDescent="0.25">
      <c r="A66" s="4" t="s">
        <v>492</v>
      </c>
      <c r="B66" s="4" t="s">
        <v>582</v>
      </c>
      <c r="C66" s="4" t="s">
        <v>557</v>
      </c>
      <c r="D66" s="5">
        <v>0.13730000000000001</v>
      </c>
      <c r="E66" s="5">
        <v>1.6000000000000001E-3</v>
      </c>
      <c r="F66" s="5">
        <v>0</v>
      </c>
      <c r="G66" s="5">
        <v>1.6999999999999999E-3</v>
      </c>
      <c r="H66" s="5">
        <v>0</v>
      </c>
      <c r="I66" s="5">
        <v>1.9E-3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2.5000000000000001E-3</v>
      </c>
      <c r="P66" s="5">
        <v>0</v>
      </c>
      <c r="Q66" s="5">
        <v>0</v>
      </c>
      <c r="R66" s="5">
        <v>0.12</v>
      </c>
      <c r="S66" s="5">
        <v>0</v>
      </c>
      <c r="T66" s="5">
        <v>0</v>
      </c>
      <c r="U66" s="5">
        <v>0.1</v>
      </c>
      <c r="V66" s="5">
        <v>0</v>
      </c>
      <c r="W66" s="5">
        <v>0</v>
      </c>
      <c r="X66" s="5">
        <v>0.1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0.25</v>
      </c>
      <c r="AF66" s="5">
        <v>0</v>
      </c>
      <c r="AG66" s="5">
        <v>0.03</v>
      </c>
      <c r="AH66" s="5">
        <v>0</v>
      </c>
      <c r="AI66" s="5">
        <v>0.01</v>
      </c>
      <c r="AJ66" s="5">
        <v>0</v>
      </c>
      <c r="AK66" s="5">
        <v>0</v>
      </c>
      <c r="AL66" s="5">
        <v>0</v>
      </c>
      <c r="AM66" s="5">
        <v>0</v>
      </c>
      <c r="AN66" s="5">
        <v>0.245</v>
      </c>
      <c r="AO66" s="5">
        <v>0</v>
      </c>
      <c r="AP66" s="45">
        <f t="shared" si="0"/>
        <v>1</v>
      </c>
    </row>
    <row r="67" spans="1:42" x14ac:dyDescent="0.25">
      <c r="A67" s="4" t="s">
        <v>493</v>
      </c>
      <c r="B67" s="4" t="s">
        <v>582</v>
      </c>
      <c r="C67" s="4" t="s">
        <v>557</v>
      </c>
      <c r="D67" s="5">
        <v>0.16500000000000001</v>
      </c>
      <c r="E67" s="5">
        <v>1.6000000000000001E-3</v>
      </c>
      <c r="F67" s="5">
        <v>0</v>
      </c>
      <c r="G67" s="5">
        <v>2E-3</v>
      </c>
      <c r="H67" s="5">
        <v>0</v>
      </c>
      <c r="I67" s="5">
        <v>1.6999999999999999E-3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3.0000000000000001E-3</v>
      </c>
      <c r="P67" s="5">
        <v>0</v>
      </c>
      <c r="Q67" s="5">
        <v>0</v>
      </c>
      <c r="R67" s="5">
        <v>0.12</v>
      </c>
      <c r="S67" s="5">
        <v>0</v>
      </c>
      <c r="T67" s="5">
        <v>0</v>
      </c>
      <c r="U67" s="5">
        <v>0.09</v>
      </c>
      <c r="V67" s="5">
        <v>0</v>
      </c>
      <c r="W67" s="5">
        <v>0</v>
      </c>
      <c r="X67" s="5">
        <v>0.09</v>
      </c>
      <c r="Y67" s="5">
        <v>0</v>
      </c>
      <c r="Z67" s="5">
        <v>0</v>
      </c>
      <c r="AA67" s="78">
        <v>1.17E-2</v>
      </c>
      <c r="AB67" s="5">
        <v>0</v>
      </c>
      <c r="AC67" s="5">
        <v>0</v>
      </c>
      <c r="AD67" s="5">
        <v>0</v>
      </c>
      <c r="AE67" s="5">
        <v>0.25</v>
      </c>
      <c r="AF67" s="5">
        <v>0</v>
      </c>
      <c r="AG67" s="5">
        <v>0.04</v>
      </c>
      <c r="AH67" s="5">
        <v>0</v>
      </c>
      <c r="AI67" s="5">
        <v>0</v>
      </c>
      <c r="AJ67" s="5">
        <v>0</v>
      </c>
      <c r="AK67" s="5">
        <v>0.22500000000000001</v>
      </c>
      <c r="AL67" s="5">
        <v>0</v>
      </c>
      <c r="AM67" s="5">
        <v>0</v>
      </c>
      <c r="AN67" s="5">
        <v>0</v>
      </c>
      <c r="AO67" s="5">
        <v>0</v>
      </c>
      <c r="AP67" s="45">
        <f t="shared" si="0"/>
        <v>0.99999999999999989</v>
      </c>
    </row>
    <row r="68" spans="1:42" x14ac:dyDescent="0.25">
      <c r="A68" s="4" t="s">
        <v>494</v>
      </c>
      <c r="B68" s="4" t="s">
        <v>582</v>
      </c>
      <c r="C68" s="4" t="s">
        <v>557</v>
      </c>
      <c r="D68" s="5">
        <v>0.17499999999999999</v>
      </c>
      <c r="E68" s="5">
        <v>1.6000000000000001E-3</v>
      </c>
      <c r="F68" s="5">
        <v>0</v>
      </c>
      <c r="G68" s="5">
        <v>2E-3</v>
      </c>
      <c r="H68" s="5">
        <v>0</v>
      </c>
      <c r="I68" s="5">
        <v>1.6999999999999999E-3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3.0000000000000001E-3</v>
      </c>
      <c r="P68" s="5">
        <v>0</v>
      </c>
      <c r="Q68" s="5">
        <v>0</v>
      </c>
      <c r="R68" s="5">
        <v>0.12</v>
      </c>
      <c r="S68" s="5">
        <v>0</v>
      </c>
      <c r="T68" s="5">
        <v>0</v>
      </c>
      <c r="U68" s="5">
        <v>0.09</v>
      </c>
      <c r="V68" s="5">
        <v>0</v>
      </c>
      <c r="W68" s="5">
        <v>0</v>
      </c>
      <c r="X68" s="5">
        <v>0.09</v>
      </c>
      <c r="Y68" s="5">
        <v>0</v>
      </c>
      <c r="Z68" s="5">
        <v>0</v>
      </c>
      <c r="AA68" s="5">
        <v>0</v>
      </c>
      <c r="AB68" s="78">
        <v>1.17E-2</v>
      </c>
      <c r="AC68" s="5">
        <v>0</v>
      </c>
      <c r="AD68" s="5">
        <v>0</v>
      </c>
      <c r="AE68" s="5">
        <v>0.25</v>
      </c>
      <c r="AF68" s="5">
        <v>0</v>
      </c>
      <c r="AG68" s="5">
        <v>0.03</v>
      </c>
      <c r="AH68" s="5">
        <v>0</v>
      </c>
      <c r="AI68" s="5">
        <v>0</v>
      </c>
      <c r="AJ68" s="5">
        <v>0</v>
      </c>
      <c r="AK68" s="5">
        <v>0.22500000000000001</v>
      </c>
      <c r="AL68" s="5">
        <v>0</v>
      </c>
      <c r="AM68" s="5">
        <v>0</v>
      </c>
      <c r="AN68" s="5">
        <v>0</v>
      </c>
      <c r="AO68" s="5">
        <v>0</v>
      </c>
      <c r="AP68" s="45">
        <f t="shared" si="0"/>
        <v>0.99999999999999989</v>
      </c>
    </row>
    <row r="69" spans="1:42" x14ac:dyDescent="0.25">
      <c r="A69" s="4" t="s">
        <v>496</v>
      </c>
      <c r="B69" s="4" t="s">
        <v>582</v>
      </c>
      <c r="C69" s="4" t="s">
        <v>557</v>
      </c>
      <c r="D69" s="5">
        <v>0.16500000000000001</v>
      </c>
      <c r="E69" s="5">
        <v>1.6000000000000001E-3</v>
      </c>
      <c r="F69" s="5">
        <v>0</v>
      </c>
      <c r="G69" s="5">
        <v>2E-3</v>
      </c>
      <c r="H69" s="5">
        <v>0</v>
      </c>
      <c r="I69" s="5">
        <v>1.6999999999999999E-3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3.0000000000000001E-3</v>
      </c>
      <c r="P69" s="5">
        <v>0</v>
      </c>
      <c r="Q69" s="5">
        <v>0</v>
      </c>
      <c r="R69" s="5">
        <v>0.12</v>
      </c>
      <c r="S69" s="5">
        <v>0</v>
      </c>
      <c r="T69" s="5">
        <v>0</v>
      </c>
      <c r="U69" s="5">
        <v>0.09</v>
      </c>
      <c r="V69" s="5">
        <v>0</v>
      </c>
      <c r="W69" s="5">
        <v>0</v>
      </c>
      <c r="X69" s="5">
        <v>0.09</v>
      </c>
      <c r="Y69" s="5">
        <v>0</v>
      </c>
      <c r="Z69" s="5">
        <v>0</v>
      </c>
      <c r="AA69" s="78">
        <v>1.17E-2</v>
      </c>
      <c r="AB69" s="5">
        <v>0</v>
      </c>
      <c r="AC69" s="5">
        <v>0.25</v>
      </c>
      <c r="AD69" s="5">
        <v>0</v>
      </c>
      <c r="AE69" s="5">
        <v>0</v>
      </c>
      <c r="AF69" s="5">
        <v>0</v>
      </c>
      <c r="AG69" s="5">
        <v>0.04</v>
      </c>
      <c r="AH69" s="5">
        <v>0</v>
      </c>
      <c r="AI69" s="5">
        <v>0</v>
      </c>
      <c r="AJ69" s="5">
        <v>0</v>
      </c>
      <c r="AK69" s="5">
        <v>0.22500000000000001</v>
      </c>
      <c r="AL69" s="5">
        <v>0</v>
      </c>
      <c r="AM69" s="5">
        <v>0</v>
      </c>
      <c r="AN69" s="5">
        <v>0</v>
      </c>
      <c r="AO69" s="5">
        <v>0</v>
      </c>
      <c r="AP69" s="45">
        <f t="shared" si="0"/>
        <v>0.99999999999999989</v>
      </c>
    </row>
    <row r="70" spans="1:42" x14ac:dyDescent="0.25">
      <c r="A70" s="4" t="s">
        <v>498</v>
      </c>
      <c r="B70" s="4" t="s">
        <v>582</v>
      </c>
      <c r="C70" s="4" t="s">
        <v>557</v>
      </c>
      <c r="D70" s="5">
        <v>0.17499999999999999</v>
      </c>
      <c r="E70" s="5">
        <v>1.6000000000000001E-3</v>
      </c>
      <c r="F70" s="5">
        <v>0</v>
      </c>
      <c r="G70" s="5">
        <v>2E-3</v>
      </c>
      <c r="H70" s="5">
        <v>0</v>
      </c>
      <c r="I70" s="5">
        <v>1.6999999999999999E-3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3.0000000000000001E-3</v>
      </c>
      <c r="P70" s="5">
        <v>0</v>
      </c>
      <c r="Q70" s="5">
        <v>0</v>
      </c>
      <c r="R70" s="5">
        <v>0.12</v>
      </c>
      <c r="S70" s="5">
        <v>0</v>
      </c>
      <c r="T70" s="5">
        <v>0</v>
      </c>
      <c r="U70" s="5">
        <v>0</v>
      </c>
      <c r="V70" s="5">
        <v>0.09</v>
      </c>
      <c r="W70" s="5">
        <v>0</v>
      </c>
      <c r="X70" s="5">
        <v>0.09</v>
      </c>
      <c r="Y70" s="5">
        <v>0</v>
      </c>
      <c r="Z70" s="5">
        <v>0</v>
      </c>
      <c r="AA70" s="5">
        <v>0</v>
      </c>
      <c r="AB70" s="78">
        <v>1.17E-2</v>
      </c>
      <c r="AC70" s="5">
        <v>0.25</v>
      </c>
      <c r="AD70" s="5">
        <v>0</v>
      </c>
      <c r="AE70" s="5">
        <v>0</v>
      </c>
      <c r="AF70" s="5">
        <v>0</v>
      </c>
      <c r="AG70" s="5">
        <v>0.03</v>
      </c>
      <c r="AH70" s="5">
        <v>0</v>
      </c>
      <c r="AI70" s="5">
        <v>0</v>
      </c>
      <c r="AJ70" s="5">
        <v>0</v>
      </c>
      <c r="AK70" s="5">
        <v>0.22500000000000001</v>
      </c>
      <c r="AL70" s="5">
        <v>0</v>
      </c>
      <c r="AM70" s="5">
        <v>0</v>
      </c>
      <c r="AN70" s="5">
        <v>0</v>
      </c>
      <c r="AO70" s="5">
        <v>0</v>
      </c>
      <c r="AP70" s="45">
        <f t="shared" ref="AP70:AP128" si="1">SUM(D70:AO70)</f>
        <v>0.99999999999999989</v>
      </c>
    </row>
    <row r="71" spans="1:42" x14ac:dyDescent="0.25">
      <c r="A71" s="4" t="s">
        <v>499</v>
      </c>
      <c r="B71" s="4" t="s">
        <v>582</v>
      </c>
      <c r="C71" s="4" t="s">
        <v>557</v>
      </c>
      <c r="D71" s="5">
        <v>0.17549999999999999</v>
      </c>
      <c r="E71" s="5">
        <v>1.6000000000000001E-3</v>
      </c>
      <c r="F71" s="5">
        <v>0</v>
      </c>
      <c r="G71" s="5">
        <v>2E-3</v>
      </c>
      <c r="H71" s="5">
        <v>0</v>
      </c>
      <c r="I71" s="5">
        <v>1.1999999999999999E-3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3.0000000000000001E-3</v>
      </c>
      <c r="P71" s="5">
        <v>0</v>
      </c>
      <c r="Q71" s="5">
        <v>0</v>
      </c>
      <c r="R71" s="5">
        <v>0.12</v>
      </c>
      <c r="S71" s="5">
        <v>0</v>
      </c>
      <c r="T71" s="5">
        <v>0</v>
      </c>
      <c r="U71" s="5">
        <v>0.09</v>
      </c>
      <c r="V71" s="5">
        <v>0</v>
      </c>
      <c r="W71" s="5">
        <v>0</v>
      </c>
      <c r="X71" s="5">
        <v>0.09</v>
      </c>
      <c r="Y71" s="5">
        <v>0</v>
      </c>
      <c r="Z71" s="5">
        <v>0</v>
      </c>
      <c r="AA71" s="78">
        <v>1.17E-2</v>
      </c>
      <c r="AB71" s="5">
        <v>0</v>
      </c>
      <c r="AC71" s="5">
        <v>0</v>
      </c>
      <c r="AD71" s="5">
        <v>0</v>
      </c>
      <c r="AE71" s="5">
        <v>0.25</v>
      </c>
      <c r="AF71" s="5">
        <v>0</v>
      </c>
      <c r="AG71" s="5">
        <v>0.03</v>
      </c>
      <c r="AH71" s="5">
        <v>0</v>
      </c>
      <c r="AI71" s="5">
        <v>0</v>
      </c>
      <c r="AJ71" s="5">
        <v>0</v>
      </c>
      <c r="AK71" s="5">
        <v>0.22500000000000001</v>
      </c>
      <c r="AL71" s="5">
        <v>0</v>
      </c>
      <c r="AM71" s="5">
        <v>0</v>
      </c>
      <c r="AN71" s="5">
        <v>0</v>
      </c>
      <c r="AO71" s="5">
        <v>0</v>
      </c>
      <c r="AP71" s="45">
        <f t="shared" si="1"/>
        <v>0.99999999999999989</v>
      </c>
    </row>
    <row r="72" spans="1:42" x14ac:dyDescent="0.25">
      <c r="A72" s="4" t="s">
        <v>501</v>
      </c>
      <c r="B72" s="4" t="s">
        <v>582</v>
      </c>
      <c r="C72" s="4" t="s">
        <v>557</v>
      </c>
      <c r="D72" s="5">
        <v>0.14560000000000001</v>
      </c>
      <c r="E72" s="5">
        <v>1.6000000000000001E-3</v>
      </c>
      <c r="F72" s="5">
        <v>0</v>
      </c>
      <c r="G72" s="5">
        <v>2E-3</v>
      </c>
      <c r="H72" s="5">
        <v>0</v>
      </c>
      <c r="I72" s="5">
        <v>1.6000000000000001E-3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2.5000000000000001E-3</v>
      </c>
      <c r="P72" s="5">
        <v>0</v>
      </c>
      <c r="Q72" s="5">
        <v>0</v>
      </c>
      <c r="R72" s="5">
        <v>0.12</v>
      </c>
      <c r="S72" s="5">
        <v>0</v>
      </c>
      <c r="T72" s="5">
        <v>0</v>
      </c>
      <c r="U72" s="5">
        <v>0.1</v>
      </c>
      <c r="V72" s="5">
        <v>0</v>
      </c>
      <c r="W72" s="5">
        <v>0</v>
      </c>
      <c r="X72" s="5">
        <v>0.1</v>
      </c>
      <c r="Y72" s="5">
        <v>0</v>
      </c>
      <c r="Z72" s="5">
        <v>0</v>
      </c>
      <c r="AA72" s="78">
        <v>1.17E-2</v>
      </c>
      <c r="AB72" s="5">
        <v>0</v>
      </c>
      <c r="AC72" s="5">
        <v>0</v>
      </c>
      <c r="AD72" s="5">
        <v>0</v>
      </c>
      <c r="AE72" s="5">
        <v>0.25</v>
      </c>
      <c r="AF72" s="5">
        <v>0</v>
      </c>
      <c r="AG72" s="5">
        <v>0.03</v>
      </c>
      <c r="AH72" s="5">
        <v>0</v>
      </c>
      <c r="AI72" s="5">
        <v>0.01</v>
      </c>
      <c r="AJ72" s="5">
        <v>0</v>
      </c>
      <c r="AK72" s="5">
        <v>0.22500000000000001</v>
      </c>
      <c r="AL72" s="5">
        <v>0</v>
      </c>
      <c r="AM72" s="5">
        <v>0</v>
      </c>
      <c r="AN72" s="5">
        <v>0</v>
      </c>
      <c r="AO72" s="5">
        <v>0</v>
      </c>
      <c r="AP72" s="45">
        <f t="shared" si="1"/>
        <v>0.99999999999999989</v>
      </c>
    </row>
    <row r="73" spans="1:42" x14ac:dyDescent="0.25">
      <c r="A73" s="4" t="s">
        <v>500</v>
      </c>
      <c r="B73" s="4" t="s">
        <v>582</v>
      </c>
      <c r="C73" s="4" t="s">
        <v>557</v>
      </c>
      <c r="D73" s="5">
        <v>0.12559999999999999</v>
      </c>
      <c r="E73" s="5">
        <v>1.6000000000000001E-3</v>
      </c>
      <c r="F73" s="5">
        <v>0</v>
      </c>
      <c r="G73" s="5">
        <v>2E-3</v>
      </c>
      <c r="H73" s="5">
        <v>0</v>
      </c>
      <c r="I73" s="5">
        <v>1.6000000000000001E-3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2.5000000000000001E-3</v>
      </c>
      <c r="P73" s="5">
        <v>0</v>
      </c>
      <c r="Q73" s="5">
        <v>0</v>
      </c>
      <c r="R73" s="5">
        <v>0.12</v>
      </c>
      <c r="S73" s="5">
        <v>0</v>
      </c>
      <c r="T73" s="5">
        <v>0</v>
      </c>
      <c r="U73" s="5">
        <v>0.1</v>
      </c>
      <c r="V73" s="5">
        <v>0</v>
      </c>
      <c r="W73" s="5">
        <v>0</v>
      </c>
      <c r="X73" s="5">
        <v>0.1</v>
      </c>
      <c r="Y73" s="5">
        <v>0</v>
      </c>
      <c r="Z73" s="5">
        <v>0</v>
      </c>
      <c r="AA73" s="78">
        <v>1.17E-2</v>
      </c>
      <c r="AB73" s="5">
        <v>0</v>
      </c>
      <c r="AC73" s="5">
        <v>0</v>
      </c>
      <c r="AD73" s="5">
        <v>0</v>
      </c>
      <c r="AE73" s="5">
        <v>0.25</v>
      </c>
      <c r="AF73" s="5">
        <v>0</v>
      </c>
      <c r="AG73" s="5">
        <v>0.03</v>
      </c>
      <c r="AH73" s="5">
        <v>0</v>
      </c>
      <c r="AI73" s="5">
        <v>0.03</v>
      </c>
      <c r="AJ73" s="5">
        <v>0</v>
      </c>
      <c r="AK73" s="5">
        <v>0.22500000000000001</v>
      </c>
      <c r="AL73" s="5">
        <v>0</v>
      </c>
      <c r="AM73" s="5">
        <v>0</v>
      </c>
      <c r="AN73" s="5">
        <v>0</v>
      </c>
      <c r="AO73" s="5">
        <v>0</v>
      </c>
      <c r="AP73" s="45">
        <f t="shared" si="1"/>
        <v>0.99999999999999989</v>
      </c>
    </row>
    <row r="74" spans="1:42" x14ac:dyDescent="0.25">
      <c r="A74" s="4" t="s">
        <v>502</v>
      </c>
      <c r="B74" s="4" t="s">
        <v>582</v>
      </c>
      <c r="C74" s="4" t="s">
        <v>557</v>
      </c>
      <c r="D74" s="5">
        <v>0.13689999999999999</v>
      </c>
      <c r="E74" s="5">
        <v>1.6000000000000001E-3</v>
      </c>
      <c r="F74" s="5">
        <v>0</v>
      </c>
      <c r="G74" s="5">
        <v>1.6999999999999999E-3</v>
      </c>
      <c r="H74" s="5">
        <v>0</v>
      </c>
      <c r="I74" s="5">
        <v>2.3E-3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2.5000000000000001E-3</v>
      </c>
      <c r="P74" s="5">
        <v>0</v>
      </c>
      <c r="Q74" s="5">
        <v>0</v>
      </c>
      <c r="R74" s="5">
        <v>0.12</v>
      </c>
      <c r="S74" s="5">
        <v>0</v>
      </c>
      <c r="T74" s="5">
        <v>0</v>
      </c>
      <c r="U74" s="5">
        <v>0.1</v>
      </c>
      <c r="V74" s="5">
        <v>0</v>
      </c>
      <c r="W74" s="5">
        <v>0</v>
      </c>
      <c r="X74" s="5">
        <v>0.1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0.25</v>
      </c>
      <c r="AF74" s="5">
        <v>0</v>
      </c>
      <c r="AG74" s="5">
        <v>0.03</v>
      </c>
      <c r="AH74" s="5">
        <v>0</v>
      </c>
      <c r="AI74" s="5">
        <v>0.01</v>
      </c>
      <c r="AJ74" s="5">
        <v>0</v>
      </c>
      <c r="AK74" s="5">
        <v>0</v>
      </c>
      <c r="AL74" s="5">
        <v>0</v>
      </c>
      <c r="AM74" s="5">
        <v>0</v>
      </c>
      <c r="AN74" s="5">
        <v>0.245</v>
      </c>
      <c r="AO74" s="5">
        <v>0</v>
      </c>
      <c r="AP74" s="45">
        <f t="shared" si="1"/>
        <v>1</v>
      </c>
    </row>
    <row r="75" spans="1:42" x14ac:dyDescent="0.25">
      <c r="A75" s="4" t="s">
        <v>503</v>
      </c>
      <c r="B75" s="4" t="s">
        <v>582</v>
      </c>
      <c r="C75" s="4" t="s">
        <v>557</v>
      </c>
      <c r="D75" s="5">
        <v>0.13689999999999999</v>
      </c>
      <c r="E75" s="5">
        <v>1.6000000000000001E-3</v>
      </c>
      <c r="F75" s="5">
        <v>0</v>
      </c>
      <c r="G75" s="5">
        <v>1.6999999999999999E-3</v>
      </c>
      <c r="H75" s="5">
        <v>0</v>
      </c>
      <c r="I75" s="5">
        <v>2.3E-3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2.5000000000000001E-3</v>
      </c>
      <c r="P75" s="5">
        <v>0</v>
      </c>
      <c r="Q75" s="5">
        <v>0</v>
      </c>
      <c r="R75" s="5">
        <v>0.12</v>
      </c>
      <c r="S75" s="5">
        <v>0</v>
      </c>
      <c r="T75" s="5">
        <v>0</v>
      </c>
      <c r="U75" s="5">
        <v>0.1</v>
      </c>
      <c r="V75" s="5">
        <v>0</v>
      </c>
      <c r="W75" s="5">
        <v>0</v>
      </c>
      <c r="X75" s="5">
        <v>0.1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0.25</v>
      </c>
      <c r="AF75" s="5">
        <v>0</v>
      </c>
      <c r="AG75" s="5">
        <v>0.03</v>
      </c>
      <c r="AH75" s="5">
        <v>0</v>
      </c>
      <c r="AI75" s="5">
        <v>0.01</v>
      </c>
      <c r="AJ75" s="5">
        <v>0</v>
      </c>
      <c r="AK75" s="5">
        <v>0</v>
      </c>
      <c r="AL75" s="5">
        <v>0</v>
      </c>
      <c r="AM75" s="5">
        <v>0</v>
      </c>
      <c r="AN75" s="5">
        <v>0.245</v>
      </c>
      <c r="AO75" s="5">
        <v>0</v>
      </c>
      <c r="AP75" s="45">
        <f t="shared" si="1"/>
        <v>1</v>
      </c>
    </row>
    <row r="76" spans="1:42" x14ac:dyDescent="0.25">
      <c r="A76" s="4" t="s">
        <v>504</v>
      </c>
      <c r="B76" s="4" t="s">
        <v>582</v>
      </c>
      <c r="C76" s="4" t="s">
        <v>557</v>
      </c>
      <c r="D76" s="5">
        <v>0.15060000000000001</v>
      </c>
      <c r="E76" s="5">
        <v>1.6000000000000001E-3</v>
      </c>
      <c r="F76" s="5">
        <v>0</v>
      </c>
      <c r="G76" s="5">
        <v>2E-3</v>
      </c>
      <c r="H76" s="5">
        <v>0</v>
      </c>
      <c r="I76" s="5">
        <v>1.6000000000000001E-3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2.5000000000000001E-3</v>
      </c>
      <c r="P76" s="5">
        <v>0</v>
      </c>
      <c r="Q76" s="5">
        <v>0</v>
      </c>
      <c r="R76" s="5">
        <v>0.12</v>
      </c>
      <c r="S76" s="5">
        <v>0</v>
      </c>
      <c r="T76" s="5">
        <v>0</v>
      </c>
      <c r="U76" s="5">
        <v>9.5000000000000001E-2</v>
      </c>
      <c r="V76" s="5">
        <v>0</v>
      </c>
      <c r="W76" s="5">
        <v>0</v>
      </c>
      <c r="X76" s="5">
        <v>9.5000000000000001E-2</v>
      </c>
      <c r="Y76" s="5">
        <v>0</v>
      </c>
      <c r="Z76" s="5">
        <v>0</v>
      </c>
      <c r="AA76" s="78">
        <v>1.17E-2</v>
      </c>
      <c r="AB76" s="5">
        <v>0</v>
      </c>
      <c r="AC76" s="5">
        <v>0</v>
      </c>
      <c r="AD76" s="5">
        <v>0</v>
      </c>
      <c r="AE76" s="5">
        <v>0.25</v>
      </c>
      <c r="AF76" s="5">
        <v>0</v>
      </c>
      <c r="AG76" s="5">
        <v>0.03</v>
      </c>
      <c r="AH76" s="5">
        <v>0</v>
      </c>
      <c r="AI76" s="5">
        <v>1.4999999999999999E-2</v>
      </c>
      <c r="AJ76" s="5">
        <v>0</v>
      </c>
      <c r="AK76" s="5">
        <v>0.22500000000000001</v>
      </c>
      <c r="AL76" s="5">
        <v>0</v>
      </c>
      <c r="AM76" s="5">
        <v>0</v>
      </c>
      <c r="AN76" s="5">
        <v>0</v>
      </c>
      <c r="AO76" s="5">
        <v>0</v>
      </c>
      <c r="AP76" s="45">
        <f t="shared" si="1"/>
        <v>1</v>
      </c>
    </row>
    <row r="77" spans="1:42" x14ac:dyDescent="0.25">
      <c r="A77" s="4" t="s">
        <v>505</v>
      </c>
      <c r="B77" s="4" t="s">
        <v>582</v>
      </c>
      <c r="C77" s="4" t="s">
        <v>557</v>
      </c>
      <c r="D77" s="5">
        <v>0.15060000000000001</v>
      </c>
      <c r="E77" s="5">
        <v>1.6000000000000001E-3</v>
      </c>
      <c r="F77" s="5">
        <v>0</v>
      </c>
      <c r="G77" s="5">
        <v>2E-3</v>
      </c>
      <c r="H77" s="5">
        <v>0</v>
      </c>
      <c r="I77" s="5">
        <v>1.6000000000000001E-3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2.5000000000000001E-3</v>
      </c>
      <c r="P77" s="5">
        <v>0</v>
      </c>
      <c r="Q77" s="5">
        <v>0</v>
      </c>
      <c r="R77" s="5">
        <v>0.12</v>
      </c>
      <c r="S77" s="5">
        <v>0</v>
      </c>
      <c r="T77" s="5">
        <v>0</v>
      </c>
      <c r="U77" s="5">
        <v>9.5000000000000001E-2</v>
      </c>
      <c r="V77" s="5">
        <v>0</v>
      </c>
      <c r="W77" s="5">
        <v>0</v>
      </c>
      <c r="X77" s="5">
        <v>9.5000000000000001E-2</v>
      </c>
      <c r="Y77" s="5">
        <v>0</v>
      </c>
      <c r="Z77" s="5">
        <v>0</v>
      </c>
      <c r="AA77" s="78">
        <v>1.17E-2</v>
      </c>
      <c r="AB77" s="5">
        <v>0</v>
      </c>
      <c r="AC77" s="5">
        <v>0</v>
      </c>
      <c r="AD77" s="5">
        <v>0</v>
      </c>
      <c r="AE77" s="5">
        <v>0.25</v>
      </c>
      <c r="AF77" s="5">
        <v>0</v>
      </c>
      <c r="AG77" s="5">
        <v>0.03</v>
      </c>
      <c r="AH77" s="5">
        <v>0</v>
      </c>
      <c r="AI77" s="5">
        <v>1.4999999999999999E-2</v>
      </c>
      <c r="AJ77" s="5">
        <v>0</v>
      </c>
      <c r="AK77" s="5">
        <v>0.22500000000000001</v>
      </c>
      <c r="AL77" s="5">
        <v>0</v>
      </c>
      <c r="AM77" s="5">
        <v>0</v>
      </c>
      <c r="AN77" s="5">
        <v>0</v>
      </c>
      <c r="AO77" s="5">
        <v>0</v>
      </c>
      <c r="AP77" s="45">
        <f t="shared" si="1"/>
        <v>1</v>
      </c>
    </row>
    <row r="78" spans="1:42" x14ac:dyDescent="0.25">
      <c r="A78" s="4" t="s">
        <v>507</v>
      </c>
      <c r="B78" s="4" t="s">
        <v>582</v>
      </c>
      <c r="C78" s="4" t="s">
        <v>557</v>
      </c>
      <c r="D78" s="5">
        <v>0.15060000000000001</v>
      </c>
      <c r="E78" s="5">
        <v>1.6000000000000001E-3</v>
      </c>
      <c r="F78" s="5">
        <v>0</v>
      </c>
      <c r="G78" s="5">
        <v>2E-3</v>
      </c>
      <c r="H78" s="5">
        <v>0</v>
      </c>
      <c r="I78" s="5">
        <v>1.6000000000000001E-3</v>
      </c>
      <c r="J78" s="5">
        <v>0</v>
      </c>
      <c r="K78" s="5">
        <v>0</v>
      </c>
      <c r="L78" s="5">
        <v>0</v>
      </c>
      <c r="M78" s="5">
        <v>0</v>
      </c>
      <c r="N78" s="5">
        <v>0</v>
      </c>
      <c r="O78" s="5">
        <v>2.5000000000000001E-3</v>
      </c>
      <c r="P78" s="5">
        <v>0</v>
      </c>
      <c r="Q78" s="5">
        <v>0</v>
      </c>
      <c r="R78" s="5">
        <v>0.12</v>
      </c>
      <c r="S78" s="5">
        <v>0</v>
      </c>
      <c r="T78" s="5">
        <v>0</v>
      </c>
      <c r="U78" s="5">
        <v>9.5000000000000001E-2</v>
      </c>
      <c r="V78" s="5">
        <v>0</v>
      </c>
      <c r="W78" s="5">
        <v>0</v>
      </c>
      <c r="X78" s="5">
        <v>9.5000000000000001E-2</v>
      </c>
      <c r="Y78" s="5">
        <v>0</v>
      </c>
      <c r="Z78" s="5">
        <v>0</v>
      </c>
      <c r="AA78" s="78">
        <v>1.17E-2</v>
      </c>
      <c r="AB78" s="5">
        <v>0</v>
      </c>
      <c r="AC78" s="5">
        <v>0</v>
      </c>
      <c r="AD78" s="5">
        <v>0</v>
      </c>
      <c r="AE78" s="5">
        <v>0.25</v>
      </c>
      <c r="AF78" s="5">
        <v>0</v>
      </c>
      <c r="AG78" s="5">
        <v>0.03</v>
      </c>
      <c r="AH78" s="5">
        <v>0</v>
      </c>
      <c r="AI78" s="5">
        <v>1.4999999999999999E-2</v>
      </c>
      <c r="AJ78" s="5">
        <v>0</v>
      </c>
      <c r="AK78" s="5">
        <v>0.22500000000000001</v>
      </c>
      <c r="AL78" s="5">
        <v>0</v>
      </c>
      <c r="AM78" s="5">
        <v>0</v>
      </c>
      <c r="AN78" s="5">
        <v>0</v>
      </c>
      <c r="AO78" s="5">
        <v>0</v>
      </c>
      <c r="AP78" s="45">
        <f t="shared" si="1"/>
        <v>1</v>
      </c>
    </row>
    <row r="79" spans="1:42" x14ac:dyDescent="0.25">
      <c r="A79" s="4" t="s">
        <v>506</v>
      </c>
      <c r="B79" s="4" t="s">
        <v>582</v>
      </c>
      <c r="C79" s="4" t="s">
        <v>557</v>
      </c>
      <c r="D79" s="5">
        <v>0.17469999999999999</v>
      </c>
      <c r="E79" s="5">
        <v>1.6000000000000001E-3</v>
      </c>
      <c r="F79" s="5">
        <v>0</v>
      </c>
      <c r="G79" s="5">
        <v>2E-3</v>
      </c>
      <c r="H79" s="5">
        <v>0</v>
      </c>
      <c r="I79" s="5">
        <v>2E-3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3.0000000000000001E-3</v>
      </c>
      <c r="P79" s="5">
        <v>0</v>
      </c>
      <c r="Q79" s="5">
        <v>0</v>
      </c>
      <c r="R79" s="5">
        <v>0.12</v>
      </c>
      <c r="S79" s="5">
        <v>0</v>
      </c>
      <c r="T79" s="5">
        <v>0</v>
      </c>
      <c r="U79" s="5">
        <v>0.09</v>
      </c>
      <c r="V79" s="5">
        <v>0</v>
      </c>
      <c r="W79" s="5">
        <v>0</v>
      </c>
      <c r="X79" s="5">
        <v>0.09</v>
      </c>
      <c r="Y79" s="5">
        <v>0</v>
      </c>
      <c r="Z79" s="5">
        <v>0</v>
      </c>
      <c r="AA79" s="5">
        <v>0</v>
      </c>
      <c r="AB79" s="78">
        <v>1.17E-2</v>
      </c>
      <c r="AC79" s="5">
        <v>0</v>
      </c>
      <c r="AD79" s="5">
        <v>0</v>
      </c>
      <c r="AE79" s="5">
        <v>0.25</v>
      </c>
      <c r="AF79" s="5">
        <v>0</v>
      </c>
      <c r="AG79" s="5">
        <v>0.03</v>
      </c>
      <c r="AH79" s="5">
        <v>0</v>
      </c>
      <c r="AI79" s="5">
        <v>0</v>
      </c>
      <c r="AJ79" s="5">
        <v>0</v>
      </c>
      <c r="AK79" s="5">
        <v>0.22500000000000001</v>
      </c>
      <c r="AL79" s="5">
        <v>0</v>
      </c>
      <c r="AM79" s="5">
        <v>0</v>
      </c>
      <c r="AN79" s="5">
        <v>0</v>
      </c>
      <c r="AO79" s="5">
        <v>0</v>
      </c>
      <c r="AP79" s="45">
        <f t="shared" si="1"/>
        <v>0.99999999999999989</v>
      </c>
    </row>
    <row r="80" spans="1:42" x14ac:dyDescent="0.25">
      <c r="A80" s="4" t="s">
        <v>508</v>
      </c>
      <c r="B80" s="4" t="s">
        <v>582</v>
      </c>
      <c r="C80" s="4" t="s">
        <v>557</v>
      </c>
      <c r="D80" s="5">
        <v>0.17510000000000001</v>
      </c>
      <c r="E80" s="78">
        <v>1.6000000000000001E-3</v>
      </c>
      <c r="F80" s="5">
        <v>2E-3</v>
      </c>
      <c r="G80" s="5">
        <v>0</v>
      </c>
      <c r="H80" s="5">
        <v>0</v>
      </c>
      <c r="I80" s="5">
        <v>1.1999999999999999E-3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3.0000000000000001E-3</v>
      </c>
      <c r="P80" s="5">
        <v>0</v>
      </c>
      <c r="Q80" s="5">
        <v>0</v>
      </c>
      <c r="R80" s="5">
        <v>0.12</v>
      </c>
      <c r="S80" s="5">
        <v>0</v>
      </c>
      <c r="T80" s="5">
        <v>0</v>
      </c>
      <c r="U80" s="5">
        <v>0.09</v>
      </c>
      <c r="V80" s="5">
        <v>0</v>
      </c>
      <c r="W80" s="5">
        <v>0</v>
      </c>
      <c r="X80" s="5">
        <v>0.09</v>
      </c>
      <c r="Y80" s="5">
        <v>0</v>
      </c>
      <c r="Z80" s="5">
        <v>0</v>
      </c>
      <c r="AA80" s="78">
        <v>1.17E-2</v>
      </c>
      <c r="AB80" s="5">
        <v>0</v>
      </c>
      <c r="AC80" s="5">
        <v>0</v>
      </c>
      <c r="AD80" s="5">
        <v>0</v>
      </c>
      <c r="AE80" s="5">
        <v>0.25</v>
      </c>
      <c r="AF80" s="5">
        <v>0</v>
      </c>
      <c r="AG80" s="5">
        <v>0.03</v>
      </c>
      <c r="AH80" s="5">
        <v>0</v>
      </c>
      <c r="AI80" s="5">
        <v>0</v>
      </c>
      <c r="AJ80" s="5">
        <v>0</v>
      </c>
      <c r="AK80" s="5">
        <v>0.22500000000000001</v>
      </c>
      <c r="AL80" s="5">
        <v>0</v>
      </c>
      <c r="AM80" s="5">
        <v>0</v>
      </c>
      <c r="AN80" s="5">
        <v>0</v>
      </c>
      <c r="AO80" s="5">
        <v>0</v>
      </c>
      <c r="AP80" s="45">
        <f t="shared" si="1"/>
        <v>0.99959999999999993</v>
      </c>
    </row>
    <row r="81" spans="1:42" x14ac:dyDescent="0.25">
      <c r="A81" s="4" t="s">
        <v>509</v>
      </c>
      <c r="B81" s="4" t="s">
        <v>582</v>
      </c>
      <c r="C81" s="4" t="s">
        <v>557</v>
      </c>
      <c r="D81" s="5">
        <v>0.17510000000000001</v>
      </c>
      <c r="E81" s="5">
        <v>1.6000000000000001E-3</v>
      </c>
      <c r="F81" s="5">
        <v>2E-3</v>
      </c>
      <c r="G81" s="5">
        <v>0</v>
      </c>
      <c r="H81" s="5">
        <v>0</v>
      </c>
      <c r="I81" s="5">
        <v>1.6000000000000001E-3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3.0000000000000001E-3</v>
      </c>
      <c r="P81" s="5">
        <v>0</v>
      </c>
      <c r="Q81" s="5">
        <v>0</v>
      </c>
      <c r="R81" s="5">
        <v>0.12</v>
      </c>
      <c r="S81" s="5">
        <v>0</v>
      </c>
      <c r="T81" s="5">
        <v>0</v>
      </c>
      <c r="U81" s="5">
        <v>0.09</v>
      </c>
      <c r="V81" s="5">
        <v>0</v>
      </c>
      <c r="W81" s="5">
        <v>0</v>
      </c>
      <c r="X81" s="5">
        <v>0.09</v>
      </c>
      <c r="Y81" s="5">
        <v>0</v>
      </c>
      <c r="Z81" s="5">
        <v>0</v>
      </c>
      <c r="AA81" s="78">
        <v>1.17E-2</v>
      </c>
      <c r="AB81" s="5">
        <v>0</v>
      </c>
      <c r="AC81" s="5">
        <v>0.25</v>
      </c>
      <c r="AD81" s="5">
        <v>0</v>
      </c>
      <c r="AE81" s="5">
        <v>0</v>
      </c>
      <c r="AF81" s="5">
        <v>0</v>
      </c>
      <c r="AG81" s="5">
        <v>0.03</v>
      </c>
      <c r="AH81" s="5">
        <v>0</v>
      </c>
      <c r="AI81" s="5">
        <v>0</v>
      </c>
      <c r="AJ81" s="5">
        <v>0</v>
      </c>
      <c r="AK81" s="5">
        <v>0.22500000000000001</v>
      </c>
      <c r="AL81" s="5">
        <v>0</v>
      </c>
      <c r="AM81" s="5">
        <v>0</v>
      </c>
      <c r="AN81" s="5">
        <v>0</v>
      </c>
      <c r="AO81" s="5">
        <v>0</v>
      </c>
      <c r="AP81" s="45">
        <f t="shared" si="1"/>
        <v>0.99999999999999989</v>
      </c>
    </row>
    <row r="82" spans="1:42" x14ac:dyDescent="0.25">
      <c r="A82" s="4" t="s">
        <v>510</v>
      </c>
      <c r="B82" s="4" t="s">
        <v>582</v>
      </c>
      <c r="C82" s="4" t="s">
        <v>557</v>
      </c>
      <c r="D82" s="5">
        <v>0.15529999999999999</v>
      </c>
      <c r="E82" s="5">
        <v>1.6000000000000001E-3</v>
      </c>
      <c r="F82" s="5">
        <v>2E-3</v>
      </c>
      <c r="G82" s="5">
        <v>0</v>
      </c>
      <c r="H82" s="5">
        <v>0</v>
      </c>
      <c r="I82" s="5">
        <v>1.9E-3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2.5000000000000001E-3</v>
      </c>
      <c r="P82" s="5">
        <v>0</v>
      </c>
      <c r="Q82" s="5">
        <v>0</v>
      </c>
      <c r="R82" s="5">
        <v>0.12</v>
      </c>
      <c r="S82" s="5">
        <v>0</v>
      </c>
      <c r="T82" s="5">
        <v>0</v>
      </c>
      <c r="U82" s="5">
        <v>0.1</v>
      </c>
      <c r="V82" s="5">
        <v>0</v>
      </c>
      <c r="W82" s="5">
        <v>0</v>
      </c>
      <c r="X82" s="5">
        <v>0.1</v>
      </c>
      <c r="Y82" s="5">
        <v>0</v>
      </c>
      <c r="Z82" s="5">
        <v>0</v>
      </c>
      <c r="AA82" s="78">
        <v>1.17E-2</v>
      </c>
      <c r="AB82" s="5">
        <v>0</v>
      </c>
      <c r="AC82" s="5">
        <v>0.24</v>
      </c>
      <c r="AD82" s="5">
        <v>0</v>
      </c>
      <c r="AE82" s="5">
        <v>0</v>
      </c>
      <c r="AF82" s="5">
        <v>0</v>
      </c>
      <c r="AG82" s="5">
        <v>0.03</v>
      </c>
      <c r="AH82" s="5">
        <v>0</v>
      </c>
      <c r="AI82" s="5">
        <v>0.02</v>
      </c>
      <c r="AJ82" s="5">
        <v>0</v>
      </c>
      <c r="AK82" s="5">
        <v>0</v>
      </c>
      <c r="AL82" s="5">
        <v>0</v>
      </c>
      <c r="AM82" s="5">
        <v>0.215</v>
      </c>
      <c r="AN82" s="5">
        <v>0</v>
      </c>
      <c r="AO82" s="5">
        <v>0</v>
      </c>
      <c r="AP82" s="45">
        <f t="shared" si="1"/>
        <v>0.99999999999999989</v>
      </c>
    </row>
    <row r="83" spans="1:42" x14ac:dyDescent="0.25">
      <c r="A83" s="4" t="s">
        <v>511</v>
      </c>
      <c r="B83" s="4" t="s">
        <v>582</v>
      </c>
      <c r="C83" s="4" t="s">
        <v>557</v>
      </c>
      <c r="D83" s="5">
        <v>0.14940000000000001</v>
      </c>
      <c r="E83" s="5">
        <v>4.0000000000000001E-3</v>
      </c>
      <c r="F83" s="5">
        <v>4.0000000000000001E-3</v>
      </c>
      <c r="G83" s="5">
        <v>0</v>
      </c>
      <c r="H83" s="5">
        <v>0</v>
      </c>
      <c r="I83" s="5">
        <v>1.6000000000000001E-3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3.0000000000000001E-3</v>
      </c>
      <c r="P83" s="5">
        <v>0</v>
      </c>
      <c r="Q83" s="5">
        <v>0</v>
      </c>
      <c r="R83" s="5">
        <v>0.12</v>
      </c>
      <c r="S83" s="5">
        <v>0</v>
      </c>
      <c r="T83" s="5">
        <v>0</v>
      </c>
      <c r="U83" s="5">
        <v>9.2499999999999999E-2</v>
      </c>
      <c r="V83" s="5">
        <v>0</v>
      </c>
      <c r="W83" s="5">
        <v>0</v>
      </c>
      <c r="X83" s="5">
        <v>9.2499999999999999E-2</v>
      </c>
      <c r="Y83" s="5">
        <v>0</v>
      </c>
      <c r="Z83" s="5">
        <v>0</v>
      </c>
      <c r="AA83" s="78">
        <v>1.2999999999999999E-2</v>
      </c>
      <c r="AB83" s="5">
        <v>0</v>
      </c>
      <c r="AC83" s="5">
        <v>0</v>
      </c>
      <c r="AD83" s="5">
        <v>0</v>
      </c>
      <c r="AE83" s="5">
        <v>0.25</v>
      </c>
      <c r="AF83" s="5">
        <v>0</v>
      </c>
      <c r="AG83" s="5">
        <v>0.03</v>
      </c>
      <c r="AH83" s="5">
        <v>0</v>
      </c>
      <c r="AI83" s="5">
        <v>0.01</v>
      </c>
      <c r="AJ83" s="5">
        <v>0</v>
      </c>
      <c r="AK83" s="5">
        <v>0.23</v>
      </c>
      <c r="AL83" s="5">
        <v>0</v>
      </c>
      <c r="AM83" s="5">
        <v>0</v>
      </c>
      <c r="AN83" s="5">
        <v>0</v>
      </c>
      <c r="AO83" s="5">
        <v>0</v>
      </c>
      <c r="AP83" s="45">
        <f t="shared" si="1"/>
        <v>1.0000000000000002</v>
      </c>
    </row>
    <row r="84" spans="1:42" x14ac:dyDescent="0.25">
      <c r="A84" s="4" t="s">
        <v>512</v>
      </c>
      <c r="B84" s="4" t="s">
        <v>582</v>
      </c>
      <c r="C84" s="4" t="s">
        <v>557</v>
      </c>
      <c r="D84" s="5">
        <v>0.1305</v>
      </c>
      <c r="E84" s="5">
        <v>1.6000000000000001E-3</v>
      </c>
      <c r="F84" s="5">
        <v>0</v>
      </c>
      <c r="G84" s="5">
        <v>2E-3</v>
      </c>
      <c r="H84" s="5">
        <v>0</v>
      </c>
      <c r="I84" s="5">
        <v>1.6999999999999999E-3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2.5000000000000001E-3</v>
      </c>
      <c r="P84" s="5">
        <v>0</v>
      </c>
      <c r="Q84" s="5">
        <v>0</v>
      </c>
      <c r="R84" s="5">
        <v>0.12</v>
      </c>
      <c r="S84" s="5">
        <v>0</v>
      </c>
      <c r="T84" s="5">
        <v>0</v>
      </c>
      <c r="U84" s="5">
        <v>0.1</v>
      </c>
      <c r="V84" s="5">
        <v>0</v>
      </c>
      <c r="W84" s="5">
        <v>0</v>
      </c>
      <c r="X84" s="5">
        <v>0.1</v>
      </c>
      <c r="Y84" s="5">
        <v>0</v>
      </c>
      <c r="Z84" s="5">
        <v>0</v>
      </c>
      <c r="AA84" s="78">
        <v>1.17E-2</v>
      </c>
      <c r="AB84" s="5">
        <v>0</v>
      </c>
      <c r="AC84" s="5">
        <v>0</v>
      </c>
      <c r="AD84" s="5">
        <v>0</v>
      </c>
      <c r="AE84" s="5">
        <v>0.25</v>
      </c>
      <c r="AF84" s="5">
        <v>0</v>
      </c>
      <c r="AG84" s="5">
        <v>0.03</v>
      </c>
      <c r="AH84" s="5">
        <v>0</v>
      </c>
      <c r="AI84" s="5">
        <v>0.01</v>
      </c>
      <c r="AJ84" s="5">
        <v>0</v>
      </c>
      <c r="AK84" s="5">
        <v>0.24</v>
      </c>
      <c r="AL84" s="5">
        <v>0</v>
      </c>
      <c r="AM84" s="5">
        <v>0</v>
      </c>
      <c r="AN84" s="5">
        <v>0</v>
      </c>
      <c r="AO84" s="5">
        <v>0</v>
      </c>
      <c r="AP84" s="45">
        <f t="shared" si="1"/>
        <v>1</v>
      </c>
    </row>
    <row r="85" spans="1:42" x14ac:dyDescent="0.25">
      <c r="A85" s="4" t="s">
        <v>514</v>
      </c>
      <c r="B85" s="4" t="s">
        <v>582</v>
      </c>
      <c r="C85" s="4" t="s">
        <v>557</v>
      </c>
      <c r="D85" s="5">
        <v>0.1444</v>
      </c>
      <c r="E85" s="5">
        <v>4.0000000000000001E-3</v>
      </c>
      <c r="F85" s="5">
        <v>4.0000000000000001E-3</v>
      </c>
      <c r="G85" s="5">
        <v>0</v>
      </c>
      <c r="H85" s="5">
        <v>0</v>
      </c>
      <c r="I85" s="5">
        <v>1.6000000000000001E-3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3.0000000000000001E-3</v>
      </c>
      <c r="P85" s="5">
        <v>0</v>
      </c>
      <c r="Q85" s="5">
        <v>0</v>
      </c>
      <c r="R85" s="5">
        <v>0.12</v>
      </c>
      <c r="S85" s="5">
        <v>0</v>
      </c>
      <c r="T85" s="5">
        <v>0</v>
      </c>
      <c r="U85" s="5">
        <v>9.2499999999999999E-2</v>
      </c>
      <c r="V85" s="5">
        <v>0</v>
      </c>
      <c r="W85" s="5">
        <v>0</v>
      </c>
      <c r="X85" s="5">
        <v>9.2499999999999999E-2</v>
      </c>
      <c r="Y85" s="5">
        <v>0</v>
      </c>
      <c r="Z85" s="5">
        <v>0</v>
      </c>
      <c r="AA85" s="78">
        <v>1.2999999999999999E-2</v>
      </c>
      <c r="AB85" s="5">
        <v>0</v>
      </c>
      <c r="AC85" s="5">
        <v>0</v>
      </c>
      <c r="AD85" s="5">
        <v>0</v>
      </c>
      <c r="AE85" s="5">
        <v>0.25</v>
      </c>
      <c r="AF85" s="5">
        <v>0</v>
      </c>
      <c r="AG85" s="5">
        <v>0.03</v>
      </c>
      <c r="AH85" s="5">
        <v>0</v>
      </c>
      <c r="AI85" s="5">
        <v>1.4999999999999999E-2</v>
      </c>
      <c r="AJ85" s="5">
        <v>0</v>
      </c>
      <c r="AK85" s="5">
        <v>0.23</v>
      </c>
      <c r="AL85" s="5">
        <v>0</v>
      </c>
      <c r="AM85" s="5">
        <v>0</v>
      </c>
      <c r="AN85" s="5">
        <v>0</v>
      </c>
      <c r="AO85" s="5">
        <v>0</v>
      </c>
      <c r="AP85" s="45">
        <f t="shared" si="1"/>
        <v>1.0000000000000002</v>
      </c>
    </row>
    <row r="86" spans="1:42" x14ac:dyDescent="0.25">
      <c r="A86" s="4" t="s">
        <v>513</v>
      </c>
      <c r="B86" s="4" t="s">
        <v>582</v>
      </c>
      <c r="C86" s="4" t="s">
        <v>557</v>
      </c>
      <c r="D86" s="5">
        <v>0.1414</v>
      </c>
      <c r="E86" s="5">
        <v>4.0000000000000001E-3</v>
      </c>
      <c r="F86" s="5">
        <v>4.0000000000000001E-3</v>
      </c>
      <c r="G86" s="5">
        <v>0</v>
      </c>
      <c r="H86" s="5">
        <v>0</v>
      </c>
      <c r="I86" s="5">
        <v>2.5999999999999999E-3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3.0000000000000001E-3</v>
      </c>
      <c r="P86" s="5">
        <v>0</v>
      </c>
      <c r="Q86" s="5">
        <v>0</v>
      </c>
      <c r="R86" s="5">
        <v>0.12</v>
      </c>
      <c r="S86" s="5">
        <v>0</v>
      </c>
      <c r="T86" s="5">
        <v>0</v>
      </c>
      <c r="U86" s="5">
        <v>9.2499999999999999E-2</v>
      </c>
      <c r="V86" s="5">
        <v>0</v>
      </c>
      <c r="W86" s="5">
        <v>0</v>
      </c>
      <c r="X86" s="5">
        <v>9.2499999999999999E-2</v>
      </c>
      <c r="Y86" s="5">
        <v>0</v>
      </c>
      <c r="Z86" s="5">
        <v>0</v>
      </c>
      <c r="AA86" s="5">
        <v>5.0000000000000001E-3</v>
      </c>
      <c r="AB86" s="5">
        <v>0</v>
      </c>
      <c r="AC86" s="5">
        <v>0</v>
      </c>
      <c r="AD86" s="5">
        <v>0</v>
      </c>
      <c r="AE86" s="5">
        <v>0.25</v>
      </c>
      <c r="AF86" s="5">
        <v>0</v>
      </c>
      <c r="AG86" s="5">
        <v>0.03</v>
      </c>
      <c r="AH86" s="5">
        <v>0</v>
      </c>
      <c r="AI86" s="5">
        <v>0.01</v>
      </c>
      <c r="AJ86" s="5">
        <v>0</v>
      </c>
      <c r="AK86" s="5">
        <v>0</v>
      </c>
      <c r="AL86" s="5">
        <v>0</v>
      </c>
      <c r="AM86" s="5">
        <v>0</v>
      </c>
      <c r="AN86" s="5">
        <v>0.245</v>
      </c>
      <c r="AO86" s="5">
        <v>0</v>
      </c>
      <c r="AP86" s="45">
        <f t="shared" si="1"/>
        <v>1</v>
      </c>
    </row>
    <row r="87" spans="1:42" x14ac:dyDescent="0.25">
      <c r="A87" s="4" t="s">
        <v>515</v>
      </c>
      <c r="B87" s="4" t="s">
        <v>582</v>
      </c>
      <c r="C87" s="4" t="s">
        <v>557</v>
      </c>
      <c r="D87" s="5">
        <v>0.14180000000000001</v>
      </c>
      <c r="E87" s="5">
        <v>4.0000000000000001E-3</v>
      </c>
      <c r="F87" s="5">
        <v>4.0000000000000001E-3</v>
      </c>
      <c r="G87" s="5">
        <v>0</v>
      </c>
      <c r="H87" s="5">
        <v>0</v>
      </c>
      <c r="I87" s="5">
        <v>2.2000000000000001E-3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3.0000000000000001E-3</v>
      </c>
      <c r="P87" s="5">
        <v>0</v>
      </c>
      <c r="Q87" s="5">
        <v>0</v>
      </c>
      <c r="R87" s="5">
        <v>0.12</v>
      </c>
      <c r="S87" s="5">
        <v>0</v>
      </c>
      <c r="T87" s="5">
        <v>0</v>
      </c>
      <c r="U87" s="5">
        <v>9.2499999999999999E-2</v>
      </c>
      <c r="V87" s="5">
        <v>0</v>
      </c>
      <c r="W87" s="5">
        <v>0</v>
      </c>
      <c r="X87" s="5">
        <v>9.2499999999999999E-2</v>
      </c>
      <c r="Y87" s="5">
        <v>0</v>
      </c>
      <c r="Z87" s="5">
        <v>0</v>
      </c>
      <c r="AA87" s="5">
        <v>5.0000000000000001E-3</v>
      </c>
      <c r="AB87" s="5">
        <v>0</v>
      </c>
      <c r="AC87" s="5">
        <v>0</v>
      </c>
      <c r="AD87" s="5">
        <v>0</v>
      </c>
      <c r="AE87" s="5">
        <v>0.25</v>
      </c>
      <c r="AF87" s="5">
        <v>0</v>
      </c>
      <c r="AG87" s="5">
        <v>0.03</v>
      </c>
      <c r="AH87" s="5">
        <v>0</v>
      </c>
      <c r="AI87" s="5">
        <v>1.4999999999999999E-2</v>
      </c>
      <c r="AJ87" s="5">
        <v>0</v>
      </c>
      <c r="AK87" s="5">
        <v>0</v>
      </c>
      <c r="AL87" s="5">
        <v>0</v>
      </c>
      <c r="AM87" s="5">
        <v>0</v>
      </c>
      <c r="AN87" s="5">
        <v>0.24</v>
      </c>
      <c r="AO87" s="5">
        <v>0</v>
      </c>
      <c r="AP87" s="45">
        <f t="shared" si="1"/>
        <v>1</v>
      </c>
    </row>
    <row r="88" spans="1:42" x14ac:dyDescent="0.25">
      <c r="A88" s="4" t="s">
        <v>516</v>
      </c>
      <c r="B88" s="4" t="s">
        <v>582</v>
      </c>
      <c r="C88" s="4" t="s">
        <v>557</v>
      </c>
      <c r="D88" s="5">
        <v>0.14910000000000001</v>
      </c>
      <c r="E88" s="5">
        <v>4.0000000000000001E-3</v>
      </c>
      <c r="F88" s="5">
        <v>4.0000000000000001E-3</v>
      </c>
      <c r="G88" s="5">
        <v>0</v>
      </c>
      <c r="H88" s="5">
        <v>0</v>
      </c>
      <c r="I88" s="5">
        <v>1.9E-3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3.0000000000000001E-3</v>
      </c>
      <c r="P88" s="5">
        <v>0</v>
      </c>
      <c r="Q88" s="5">
        <v>0</v>
      </c>
      <c r="R88" s="5">
        <v>0.12</v>
      </c>
      <c r="S88" s="5">
        <v>0</v>
      </c>
      <c r="T88" s="5">
        <v>0</v>
      </c>
      <c r="U88" s="5">
        <v>9.2499999999999999E-2</v>
      </c>
      <c r="V88" s="5">
        <v>0</v>
      </c>
      <c r="W88" s="5">
        <v>0</v>
      </c>
      <c r="X88" s="5">
        <v>9.2499999999999999E-2</v>
      </c>
      <c r="Y88" s="5">
        <v>0</v>
      </c>
      <c r="Z88" s="5">
        <v>0</v>
      </c>
      <c r="AA88" s="78">
        <v>1.2999999999999999E-2</v>
      </c>
      <c r="AB88" s="5">
        <v>0</v>
      </c>
      <c r="AC88" s="5">
        <v>0</v>
      </c>
      <c r="AD88" s="5">
        <v>0</v>
      </c>
      <c r="AE88" s="5">
        <v>0.25</v>
      </c>
      <c r="AF88" s="5">
        <v>0</v>
      </c>
      <c r="AG88" s="5">
        <v>0.03</v>
      </c>
      <c r="AH88" s="5">
        <v>0</v>
      </c>
      <c r="AI88" s="5">
        <v>0.01</v>
      </c>
      <c r="AJ88" s="5">
        <v>0</v>
      </c>
      <c r="AK88" s="5">
        <v>0.23</v>
      </c>
      <c r="AL88" s="5">
        <v>0</v>
      </c>
      <c r="AM88" s="5">
        <v>0</v>
      </c>
      <c r="AN88" s="5">
        <v>0</v>
      </c>
      <c r="AO88" s="5">
        <v>0</v>
      </c>
      <c r="AP88" s="45">
        <f t="shared" si="1"/>
        <v>1.0000000000000002</v>
      </c>
    </row>
    <row r="89" spans="1:42" x14ac:dyDescent="0.25">
      <c r="A89" s="4" t="s">
        <v>517</v>
      </c>
      <c r="B89" s="4" t="s">
        <v>582</v>
      </c>
      <c r="C89" s="4" t="s">
        <v>557</v>
      </c>
      <c r="D89" s="5">
        <v>0.13619999999999999</v>
      </c>
      <c r="E89" s="5">
        <v>1.6000000000000001E-3</v>
      </c>
      <c r="F89" s="5">
        <v>1.6999999999999999E-3</v>
      </c>
      <c r="G89" s="5">
        <v>0</v>
      </c>
      <c r="H89" s="5">
        <v>0</v>
      </c>
      <c r="I89" s="5">
        <v>2.5000000000000001E-3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3.0000000000000001E-3</v>
      </c>
      <c r="P89" s="5">
        <v>0</v>
      </c>
      <c r="Q89" s="5">
        <v>0</v>
      </c>
      <c r="R89" s="5">
        <v>0.12</v>
      </c>
      <c r="S89" s="5">
        <v>0</v>
      </c>
      <c r="T89" s="5">
        <v>0</v>
      </c>
      <c r="U89" s="5">
        <v>0.1</v>
      </c>
      <c r="V89" s="5">
        <v>0</v>
      </c>
      <c r="W89" s="5">
        <v>0</v>
      </c>
      <c r="X89" s="5">
        <v>0.1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0.25</v>
      </c>
      <c r="AF89" s="5">
        <v>0</v>
      </c>
      <c r="AG89" s="5">
        <v>0.03</v>
      </c>
      <c r="AH89" s="5">
        <v>0</v>
      </c>
      <c r="AI89" s="5">
        <v>0.01</v>
      </c>
      <c r="AJ89" s="5">
        <v>0</v>
      </c>
      <c r="AK89" s="5">
        <v>0</v>
      </c>
      <c r="AL89" s="5">
        <v>0</v>
      </c>
      <c r="AM89" s="5">
        <v>0</v>
      </c>
      <c r="AN89" s="5">
        <v>0.245</v>
      </c>
      <c r="AO89" s="5">
        <v>0</v>
      </c>
      <c r="AP89" s="45">
        <f t="shared" si="1"/>
        <v>1</v>
      </c>
    </row>
    <row r="90" spans="1:42" x14ac:dyDescent="0.25">
      <c r="A90" s="4" t="s">
        <v>518</v>
      </c>
      <c r="B90" s="4" t="s">
        <v>582</v>
      </c>
      <c r="C90" s="4" t="s">
        <v>557</v>
      </c>
      <c r="D90" s="5">
        <v>0.14180000000000001</v>
      </c>
      <c r="E90" s="5">
        <v>4.0000000000000001E-3</v>
      </c>
      <c r="F90" s="5">
        <v>4.0000000000000001E-3</v>
      </c>
      <c r="G90" s="5">
        <v>0</v>
      </c>
      <c r="H90" s="5">
        <v>0</v>
      </c>
      <c r="I90" s="5">
        <v>2.2000000000000001E-3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3.0000000000000001E-3</v>
      </c>
      <c r="P90" s="5">
        <v>0</v>
      </c>
      <c r="Q90" s="5">
        <v>0</v>
      </c>
      <c r="R90" s="5">
        <v>0.11799999999999999</v>
      </c>
      <c r="S90" s="5">
        <v>0</v>
      </c>
      <c r="T90" s="5">
        <v>0</v>
      </c>
      <c r="U90" s="5">
        <v>9.4E-2</v>
      </c>
      <c r="V90" s="5">
        <v>0</v>
      </c>
      <c r="W90" s="5">
        <v>0</v>
      </c>
      <c r="X90" s="5">
        <v>9.4E-2</v>
      </c>
      <c r="Y90" s="5">
        <v>0</v>
      </c>
      <c r="Z90" s="5">
        <v>0</v>
      </c>
      <c r="AA90" s="5">
        <v>5.0000000000000001E-3</v>
      </c>
      <c r="AB90" s="5">
        <v>0</v>
      </c>
      <c r="AC90" s="5">
        <v>0</v>
      </c>
      <c r="AD90" s="5">
        <v>0</v>
      </c>
      <c r="AE90" s="5">
        <v>0.25</v>
      </c>
      <c r="AF90" s="5">
        <v>0</v>
      </c>
      <c r="AG90" s="5">
        <v>0.03</v>
      </c>
      <c r="AH90" s="5">
        <v>0</v>
      </c>
      <c r="AI90" s="5">
        <v>0.01</v>
      </c>
      <c r="AJ90" s="5">
        <v>0</v>
      </c>
      <c r="AK90" s="5">
        <v>0</v>
      </c>
      <c r="AL90" s="5">
        <v>0</v>
      </c>
      <c r="AM90" s="5">
        <v>0</v>
      </c>
      <c r="AN90" s="5">
        <v>0.24399999999999999</v>
      </c>
      <c r="AO90" s="5">
        <v>0</v>
      </c>
      <c r="AP90" s="45">
        <f t="shared" si="1"/>
        <v>1</v>
      </c>
    </row>
    <row r="91" spans="1:42" x14ac:dyDescent="0.25">
      <c r="A91" s="4" t="s">
        <v>519</v>
      </c>
      <c r="B91" s="4" t="s">
        <v>582</v>
      </c>
      <c r="C91" s="4" t="s">
        <v>557</v>
      </c>
      <c r="D91" s="5">
        <v>0.1384</v>
      </c>
      <c r="E91" s="5">
        <v>2E-3</v>
      </c>
      <c r="F91" s="5">
        <v>1.6999999999999999E-3</v>
      </c>
      <c r="G91" s="5">
        <v>0</v>
      </c>
      <c r="H91" s="5">
        <v>0</v>
      </c>
      <c r="I91" s="5">
        <v>1.9E-3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3.0000000000000001E-3</v>
      </c>
      <c r="P91" s="5">
        <v>0</v>
      </c>
      <c r="Q91" s="5">
        <v>0</v>
      </c>
      <c r="R91" s="5">
        <v>0.11700000000000001</v>
      </c>
      <c r="S91" s="5">
        <v>0</v>
      </c>
      <c r="T91" s="5">
        <v>0</v>
      </c>
      <c r="U91" s="5">
        <v>9.2999999999999999E-2</v>
      </c>
      <c r="V91" s="5">
        <v>0</v>
      </c>
      <c r="W91" s="5">
        <v>0</v>
      </c>
      <c r="X91" s="5">
        <v>9.2999999999999999E-2</v>
      </c>
      <c r="Y91" s="5">
        <v>0</v>
      </c>
      <c r="Z91" s="5">
        <v>0</v>
      </c>
      <c r="AA91" s="5">
        <v>5.0000000000000001E-3</v>
      </c>
      <c r="AB91" s="5">
        <v>0</v>
      </c>
      <c r="AC91" s="5">
        <v>0</v>
      </c>
      <c r="AD91" s="5">
        <v>0</v>
      </c>
      <c r="AE91" s="5">
        <v>0.247</v>
      </c>
      <c r="AF91" s="5">
        <v>0</v>
      </c>
      <c r="AG91" s="5">
        <v>3.5000000000000003E-2</v>
      </c>
      <c r="AH91" s="5">
        <v>0</v>
      </c>
      <c r="AI91" s="5">
        <v>0.02</v>
      </c>
      <c r="AJ91" s="5">
        <v>0</v>
      </c>
      <c r="AK91" s="5">
        <v>0</v>
      </c>
      <c r="AL91" s="5">
        <v>0</v>
      </c>
      <c r="AM91" s="5">
        <v>0</v>
      </c>
      <c r="AN91" s="5">
        <v>0.24299999999999999</v>
      </c>
      <c r="AO91" s="5">
        <v>0</v>
      </c>
      <c r="AP91" s="45">
        <f t="shared" si="1"/>
        <v>1</v>
      </c>
    </row>
    <row r="92" spans="1:42" x14ac:dyDescent="0.25">
      <c r="A92" s="4" t="s">
        <v>520</v>
      </c>
      <c r="B92" s="4" t="s">
        <v>582</v>
      </c>
      <c r="C92" s="4" t="s">
        <v>557</v>
      </c>
      <c r="D92" s="5">
        <v>0.14449999999999999</v>
      </c>
      <c r="E92" s="5">
        <v>1.6000000000000001E-3</v>
      </c>
      <c r="F92" s="5">
        <v>1.6999999999999999E-3</v>
      </c>
      <c r="G92" s="5">
        <v>0</v>
      </c>
      <c r="H92" s="5">
        <v>0</v>
      </c>
      <c r="I92" s="5">
        <v>2.2000000000000001E-3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3.0000000000000001E-3</v>
      </c>
      <c r="P92" s="5">
        <v>0</v>
      </c>
      <c r="Q92" s="5">
        <v>0</v>
      </c>
      <c r="R92" s="5">
        <v>0.11899999999999999</v>
      </c>
      <c r="S92" s="5">
        <v>0</v>
      </c>
      <c r="T92" s="5">
        <v>0</v>
      </c>
      <c r="U92" s="5">
        <v>9.4500000000000001E-2</v>
      </c>
      <c r="V92" s="5">
        <v>0</v>
      </c>
      <c r="W92" s="5">
        <v>0</v>
      </c>
      <c r="X92" s="5">
        <v>9.4500000000000001E-2</v>
      </c>
      <c r="Y92" s="5">
        <v>0</v>
      </c>
      <c r="Z92" s="5">
        <v>0</v>
      </c>
      <c r="AA92" s="5">
        <v>5.0000000000000001E-3</v>
      </c>
      <c r="AB92" s="5">
        <v>0</v>
      </c>
      <c r="AC92" s="5">
        <v>0</v>
      </c>
      <c r="AD92" s="5">
        <v>0</v>
      </c>
      <c r="AE92" s="5">
        <v>0.24399999999999999</v>
      </c>
      <c r="AF92" s="5">
        <v>0</v>
      </c>
      <c r="AG92" s="5">
        <v>0.03</v>
      </c>
      <c r="AH92" s="5">
        <v>0</v>
      </c>
      <c r="AI92" s="5">
        <v>0.02</v>
      </c>
      <c r="AJ92" s="5">
        <v>0</v>
      </c>
      <c r="AK92" s="5">
        <v>0</v>
      </c>
      <c r="AL92" s="5">
        <v>0</v>
      </c>
      <c r="AM92" s="5">
        <v>0</v>
      </c>
      <c r="AN92" s="5">
        <v>0.24</v>
      </c>
      <c r="AO92" s="5">
        <v>0</v>
      </c>
      <c r="AP92" s="45">
        <f t="shared" si="1"/>
        <v>1</v>
      </c>
    </row>
    <row r="93" spans="1:42" x14ac:dyDescent="0.25">
      <c r="A93" s="4" t="s">
        <v>521</v>
      </c>
      <c r="B93" s="4" t="s">
        <v>582</v>
      </c>
      <c r="C93" s="4" t="s">
        <v>557</v>
      </c>
      <c r="D93" s="5">
        <v>0.14649999999999999</v>
      </c>
      <c r="E93" s="5">
        <v>1.6000000000000001E-3</v>
      </c>
      <c r="F93" s="5">
        <v>1.6999999999999999E-3</v>
      </c>
      <c r="G93" s="5">
        <v>0</v>
      </c>
      <c r="H93" s="5">
        <v>0</v>
      </c>
      <c r="I93" s="5">
        <v>2.2000000000000001E-3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3.0000000000000001E-3</v>
      </c>
      <c r="P93" s="5">
        <v>0</v>
      </c>
      <c r="Q93" s="5">
        <v>0</v>
      </c>
      <c r="R93" s="5">
        <v>0.11899999999999999</v>
      </c>
      <c r="S93" s="5">
        <v>0</v>
      </c>
      <c r="T93" s="5">
        <v>0</v>
      </c>
      <c r="U93" s="5">
        <v>9.2499999999999999E-2</v>
      </c>
      <c r="V93" s="5">
        <v>0</v>
      </c>
      <c r="W93" s="5">
        <v>0</v>
      </c>
      <c r="X93" s="5">
        <v>9.4500000000000001E-2</v>
      </c>
      <c r="Y93" s="5">
        <v>0</v>
      </c>
      <c r="Z93" s="5">
        <v>0</v>
      </c>
      <c r="AA93" s="5">
        <v>5.0000000000000001E-3</v>
      </c>
      <c r="AB93" s="5">
        <v>0</v>
      </c>
      <c r="AC93" s="5">
        <v>0</v>
      </c>
      <c r="AD93" s="5">
        <v>0</v>
      </c>
      <c r="AE93" s="5">
        <v>0.24399999999999999</v>
      </c>
      <c r="AF93" s="5">
        <v>0</v>
      </c>
      <c r="AG93" s="5">
        <v>0.03</v>
      </c>
      <c r="AH93" s="5">
        <v>0</v>
      </c>
      <c r="AI93" s="5">
        <v>0.02</v>
      </c>
      <c r="AJ93" s="5">
        <v>0</v>
      </c>
      <c r="AK93" s="5">
        <v>0</v>
      </c>
      <c r="AL93" s="5">
        <v>0</v>
      </c>
      <c r="AM93" s="5">
        <v>0</v>
      </c>
      <c r="AN93" s="5">
        <v>0.24</v>
      </c>
      <c r="AO93" s="5">
        <v>0</v>
      </c>
      <c r="AP93" s="45">
        <f t="shared" si="1"/>
        <v>1</v>
      </c>
    </row>
    <row r="94" spans="1:42" x14ac:dyDescent="0.25">
      <c r="A94" s="4" t="s">
        <v>522</v>
      </c>
      <c r="B94" s="4" t="s">
        <v>582</v>
      </c>
      <c r="C94" s="4" t="s">
        <v>557</v>
      </c>
      <c r="D94" s="5">
        <v>0.14960000000000001</v>
      </c>
      <c r="E94" s="5">
        <v>4.0000000000000001E-3</v>
      </c>
      <c r="F94" s="5">
        <v>4.0000000000000001E-3</v>
      </c>
      <c r="G94" s="5">
        <v>0</v>
      </c>
      <c r="H94" s="5">
        <v>0</v>
      </c>
      <c r="I94" s="5">
        <v>0</v>
      </c>
      <c r="J94" s="5">
        <v>0</v>
      </c>
      <c r="K94" s="5">
        <v>1.4E-3</v>
      </c>
      <c r="L94" s="5">
        <v>0</v>
      </c>
      <c r="M94" s="5">
        <v>0</v>
      </c>
      <c r="N94" s="5">
        <v>0</v>
      </c>
      <c r="O94" s="5">
        <v>3.0000000000000001E-3</v>
      </c>
      <c r="P94" s="5">
        <v>0</v>
      </c>
      <c r="Q94" s="5">
        <v>0</v>
      </c>
      <c r="R94" s="5">
        <v>0.12</v>
      </c>
      <c r="S94" s="5">
        <v>0</v>
      </c>
      <c r="T94" s="5">
        <v>0</v>
      </c>
      <c r="U94" s="5">
        <v>9.2499999999999999E-2</v>
      </c>
      <c r="V94" s="5">
        <v>0</v>
      </c>
      <c r="W94" s="5">
        <v>0</v>
      </c>
      <c r="X94" s="5">
        <v>9.2499999999999999E-2</v>
      </c>
      <c r="Y94" s="5">
        <v>0</v>
      </c>
      <c r="Z94" s="5">
        <v>0</v>
      </c>
      <c r="AA94" s="5">
        <v>1.2999999999999999E-2</v>
      </c>
      <c r="AB94" s="5">
        <v>0</v>
      </c>
      <c r="AC94" s="5">
        <v>0</v>
      </c>
      <c r="AD94" s="5">
        <v>0</v>
      </c>
      <c r="AE94" s="5">
        <v>0.25</v>
      </c>
      <c r="AF94" s="5">
        <v>0</v>
      </c>
      <c r="AG94" s="5">
        <v>0.03</v>
      </c>
      <c r="AH94" s="5">
        <v>0</v>
      </c>
      <c r="AI94" s="5">
        <v>0.01</v>
      </c>
      <c r="AJ94" s="5">
        <v>0</v>
      </c>
      <c r="AK94" s="5">
        <v>0.23</v>
      </c>
      <c r="AL94" s="5">
        <v>0</v>
      </c>
      <c r="AM94" s="5">
        <v>0</v>
      </c>
      <c r="AN94" s="5">
        <v>0</v>
      </c>
      <c r="AO94" s="5">
        <v>0</v>
      </c>
      <c r="AP94" s="45">
        <f t="shared" si="1"/>
        <v>1.0000000000000002</v>
      </c>
    </row>
    <row r="95" spans="1:42" x14ac:dyDescent="0.25">
      <c r="A95" s="4" t="s">
        <v>524</v>
      </c>
      <c r="B95" s="4" t="s">
        <v>582</v>
      </c>
      <c r="C95" s="4" t="s">
        <v>557</v>
      </c>
      <c r="D95" s="5">
        <v>0.14910000000000001</v>
      </c>
      <c r="E95" s="5">
        <v>4.0000000000000001E-3</v>
      </c>
      <c r="F95" s="5">
        <v>4.0000000000000001E-3</v>
      </c>
      <c r="G95" s="5">
        <v>0</v>
      </c>
      <c r="H95" s="5">
        <v>0</v>
      </c>
      <c r="I95" s="5">
        <v>1.6000000000000001E-3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3.3E-3</v>
      </c>
      <c r="P95" s="5">
        <v>0</v>
      </c>
      <c r="Q95" s="5">
        <v>0</v>
      </c>
      <c r="R95" s="5">
        <v>0.12</v>
      </c>
      <c r="S95" s="5">
        <v>0</v>
      </c>
      <c r="T95" s="5">
        <v>0</v>
      </c>
      <c r="U95" s="5">
        <v>9.2499999999999999E-2</v>
      </c>
      <c r="V95" s="5">
        <v>0</v>
      </c>
      <c r="W95" s="5">
        <v>0</v>
      </c>
      <c r="X95" s="5">
        <v>9.2499999999999999E-2</v>
      </c>
      <c r="Y95" s="5">
        <v>0</v>
      </c>
      <c r="Z95" s="5">
        <v>0</v>
      </c>
      <c r="AA95" s="5">
        <v>1.2999999999999999E-2</v>
      </c>
      <c r="AB95" s="5">
        <v>0</v>
      </c>
      <c r="AC95" s="5">
        <v>0</v>
      </c>
      <c r="AD95" s="5">
        <v>0</v>
      </c>
      <c r="AE95" s="5">
        <v>0.25</v>
      </c>
      <c r="AF95" s="5">
        <v>0</v>
      </c>
      <c r="AG95" s="5">
        <v>0.03</v>
      </c>
      <c r="AH95" s="5">
        <v>0</v>
      </c>
      <c r="AI95" s="5">
        <v>0.01</v>
      </c>
      <c r="AJ95" s="5">
        <v>0</v>
      </c>
      <c r="AK95" s="5">
        <v>0.23</v>
      </c>
      <c r="AL95" s="5">
        <v>0</v>
      </c>
      <c r="AM95" s="5">
        <v>0</v>
      </c>
      <c r="AN95" s="5">
        <v>0</v>
      </c>
      <c r="AO95" s="5">
        <v>0</v>
      </c>
      <c r="AP95" s="45">
        <f t="shared" si="1"/>
        <v>1.0000000000000002</v>
      </c>
    </row>
    <row r="96" spans="1:42" x14ac:dyDescent="0.25">
      <c r="A96" s="4" t="s">
        <v>525</v>
      </c>
      <c r="B96" s="4" t="s">
        <v>582</v>
      </c>
      <c r="C96" s="4" t="s">
        <v>557</v>
      </c>
      <c r="D96" s="5">
        <v>0.13020000000000001</v>
      </c>
      <c r="E96" s="5">
        <v>1.6000000000000001E-3</v>
      </c>
      <c r="F96" s="5">
        <v>2E-3</v>
      </c>
      <c r="G96" s="5">
        <v>0</v>
      </c>
      <c r="H96" s="5">
        <v>0</v>
      </c>
      <c r="I96" s="5">
        <v>2.2000000000000001E-3</v>
      </c>
      <c r="J96" s="5">
        <v>0</v>
      </c>
      <c r="K96" s="5">
        <v>0</v>
      </c>
      <c r="L96" s="5">
        <v>0</v>
      </c>
      <c r="M96" s="5">
        <v>0</v>
      </c>
      <c r="N96" s="5">
        <v>0</v>
      </c>
      <c r="O96" s="5">
        <v>0</v>
      </c>
      <c r="P96" s="5">
        <v>3.3999999999999998E-3</v>
      </c>
      <c r="Q96" s="5">
        <v>0</v>
      </c>
      <c r="R96" s="5">
        <v>0.11700000000000001</v>
      </c>
      <c r="S96" s="5">
        <v>0</v>
      </c>
      <c r="T96" s="5">
        <v>0</v>
      </c>
      <c r="U96" s="5">
        <v>9.7299999999999998E-2</v>
      </c>
      <c r="V96" s="5">
        <v>0</v>
      </c>
      <c r="W96" s="5">
        <v>0</v>
      </c>
      <c r="X96" s="5">
        <v>9.7299999999999998E-2</v>
      </c>
      <c r="Y96" s="5">
        <v>0</v>
      </c>
      <c r="Z96" s="5">
        <v>0</v>
      </c>
      <c r="AA96" s="5">
        <v>5.0000000000000001E-3</v>
      </c>
      <c r="AB96" s="5">
        <v>0</v>
      </c>
      <c r="AC96" s="5">
        <v>0</v>
      </c>
      <c r="AD96" s="5">
        <v>0</v>
      </c>
      <c r="AE96" s="5">
        <v>0.24399999999999999</v>
      </c>
      <c r="AF96" s="5">
        <v>0</v>
      </c>
      <c r="AG96" s="5">
        <v>0.03</v>
      </c>
      <c r="AH96" s="5">
        <v>0</v>
      </c>
      <c r="AI96" s="5">
        <v>0.03</v>
      </c>
      <c r="AJ96" s="5">
        <v>0</v>
      </c>
      <c r="AK96" s="5">
        <v>0</v>
      </c>
      <c r="AL96" s="5">
        <v>0</v>
      </c>
      <c r="AM96" s="5">
        <v>0</v>
      </c>
      <c r="AN96" s="5">
        <v>0.24</v>
      </c>
      <c r="AO96" s="5">
        <v>0</v>
      </c>
      <c r="AP96" s="45">
        <f t="shared" si="1"/>
        <v>1</v>
      </c>
    </row>
    <row r="97" spans="1:42" x14ac:dyDescent="0.25">
      <c r="A97" s="4" t="s">
        <v>527</v>
      </c>
      <c r="B97" s="4" t="s">
        <v>582</v>
      </c>
      <c r="C97" s="4" t="s">
        <v>557</v>
      </c>
      <c r="D97" s="5">
        <v>0.1275</v>
      </c>
      <c r="E97" s="5">
        <v>4.0000000000000001E-3</v>
      </c>
      <c r="F97" s="5">
        <v>2E-3</v>
      </c>
      <c r="G97" s="5">
        <v>0</v>
      </c>
      <c r="H97" s="5">
        <v>0</v>
      </c>
      <c r="I97" s="5">
        <v>2.5000000000000001E-3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3.3999999999999998E-3</v>
      </c>
      <c r="Q97" s="5">
        <v>0</v>
      </c>
      <c r="R97" s="5">
        <v>0.11700000000000001</v>
      </c>
      <c r="S97" s="5">
        <v>0</v>
      </c>
      <c r="T97" s="5">
        <v>0</v>
      </c>
      <c r="U97" s="5">
        <v>9.7299999999999998E-2</v>
      </c>
      <c r="V97" s="5">
        <v>0</v>
      </c>
      <c r="W97" s="5">
        <v>0</v>
      </c>
      <c r="X97" s="5">
        <v>9.7299999999999998E-2</v>
      </c>
      <c r="Y97" s="5">
        <v>0</v>
      </c>
      <c r="Z97" s="5">
        <v>0</v>
      </c>
      <c r="AA97" s="5">
        <v>5.0000000000000001E-3</v>
      </c>
      <c r="AB97" s="5">
        <v>0</v>
      </c>
      <c r="AC97" s="5">
        <v>0</v>
      </c>
      <c r="AD97" s="5">
        <v>0</v>
      </c>
      <c r="AE97" s="5">
        <v>0.24399999999999999</v>
      </c>
      <c r="AF97" s="5">
        <v>0</v>
      </c>
      <c r="AG97" s="5">
        <v>0.03</v>
      </c>
      <c r="AH97" s="5">
        <v>0</v>
      </c>
      <c r="AI97" s="5">
        <v>0.03</v>
      </c>
      <c r="AJ97" s="5">
        <v>0</v>
      </c>
      <c r="AK97" s="5">
        <v>0</v>
      </c>
      <c r="AL97" s="5">
        <v>0</v>
      </c>
      <c r="AM97" s="5">
        <v>0</v>
      </c>
      <c r="AN97" s="5">
        <v>0.24</v>
      </c>
      <c r="AO97" s="5">
        <v>0</v>
      </c>
      <c r="AP97" s="45">
        <f t="shared" si="1"/>
        <v>1</v>
      </c>
    </row>
    <row r="98" spans="1:42" x14ac:dyDescent="0.25">
      <c r="A98" s="4" t="s">
        <v>528</v>
      </c>
      <c r="B98" s="4" t="s">
        <v>582</v>
      </c>
      <c r="C98" s="4" t="s">
        <v>557</v>
      </c>
      <c r="D98" s="5">
        <v>0.1275</v>
      </c>
      <c r="E98" s="5">
        <v>4.0000000000000001E-3</v>
      </c>
      <c r="F98" s="5">
        <v>2E-3</v>
      </c>
      <c r="G98" s="5">
        <v>0</v>
      </c>
      <c r="H98" s="5">
        <v>0</v>
      </c>
      <c r="I98" s="5">
        <v>2.5000000000000001E-3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0</v>
      </c>
      <c r="P98" s="5">
        <v>3.3999999999999998E-3</v>
      </c>
      <c r="Q98" s="5">
        <v>0</v>
      </c>
      <c r="R98" s="5">
        <v>0.11700000000000001</v>
      </c>
      <c r="S98" s="5">
        <v>0</v>
      </c>
      <c r="T98" s="5">
        <v>0</v>
      </c>
      <c r="U98" s="5">
        <v>9.7299999999999998E-2</v>
      </c>
      <c r="V98" s="5">
        <v>0</v>
      </c>
      <c r="W98" s="5">
        <v>0</v>
      </c>
      <c r="X98" s="5">
        <v>9.7299999999999998E-2</v>
      </c>
      <c r="Y98" s="5">
        <v>0</v>
      </c>
      <c r="Z98" s="5">
        <v>0</v>
      </c>
      <c r="AA98" s="5">
        <v>5.0000000000000001E-3</v>
      </c>
      <c r="AB98" s="5">
        <v>0</v>
      </c>
      <c r="AC98" s="5">
        <v>0</v>
      </c>
      <c r="AD98" s="5">
        <v>0</v>
      </c>
      <c r="AE98" s="5">
        <v>0.24399999999999999</v>
      </c>
      <c r="AF98" s="5">
        <v>0</v>
      </c>
      <c r="AG98" s="5">
        <v>0.03</v>
      </c>
      <c r="AH98" s="5">
        <v>0</v>
      </c>
      <c r="AI98" s="5">
        <v>0.03</v>
      </c>
      <c r="AJ98" s="5">
        <v>0</v>
      </c>
      <c r="AK98" s="5">
        <v>0</v>
      </c>
      <c r="AL98" s="5">
        <v>0</v>
      </c>
      <c r="AM98" s="5">
        <v>0</v>
      </c>
      <c r="AN98" s="5">
        <v>0.24</v>
      </c>
      <c r="AO98" s="5">
        <v>0</v>
      </c>
      <c r="AP98" s="45">
        <f t="shared" si="1"/>
        <v>1</v>
      </c>
    </row>
    <row r="99" spans="1:42" x14ac:dyDescent="0.25">
      <c r="A99" s="4" t="s">
        <v>529</v>
      </c>
      <c r="B99" s="4" t="s">
        <v>582</v>
      </c>
      <c r="C99" s="4" t="s">
        <v>557</v>
      </c>
      <c r="D99" s="5">
        <v>0.1278</v>
      </c>
      <c r="E99" s="5">
        <v>4.0000000000000001E-3</v>
      </c>
      <c r="F99" s="5">
        <v>2E-3</v>
      </c>
      <c r="G99" s="5">
        <v>0</v>
      </c>
      <c r="H99" s="5">
        <v>0</v>
      </c>
      <c r="I99" s="5">
        <v>0</v>
      </c>
      <c r="J99" s="5">
        <v>0</v>
      </c>
      <c r="K99" s="5">
        <v>2.2000000000000001E-3</v>
      </c>
      <c r="L99" s="5">
        <v>0</v>
      </c>
      <c r="M99" s="5">
        <v>0</v>
      </c>
      <c r="N99" s="5">
        <v>0</v>
      </c>
      <c r="O99" s="5">
        <v>0</v>
      </c>
      <c r="P99" s="5">
        <v>3.3999999999999998E-3</v>
      </c>
      <c r="Q99" s="5">
        <v>0</v>
      </c>
      <c r="R99" s="5">
        <v>0.11700000000000001</v>
      </c>
      <c r="S99" s="5">
        <v>0</v>
      </c>
      <c r="T99" s="5">
        <v>0</v>
      </c>
      <c r="U99" s="5">
        <v>9.7299999999999998E-2</v>
      </c>
      <c r="V99" s="5">
        <v>0</v>
      </c>
      <c r="W99" s="5">
        <v>0</v>
      </c>
      <c r="X99" s="5">
        <v>9.7299999999999998E-2</v>
      </c>
      <c r="Y99" s="5">
        <v>0</v>
      </c>
      <c r="Z99" s="5">
        <v>0</v>
      </c>
      <c r="AA99" s="5">
        <v>5.0000000000000001E-3</v>
      </c>
      <c r="AB99" s="5">
        <v>0</v>
      </c>
      <c r="AC99" s="5">
        <v>0</v>
      </c>
      <c r="AD99" s="5">
        <v>0</v>
      </c>
      <c r="AE99" s="5">
        <v>0.24399999999999999</v>
      </c>
      <c r="AF99" s="5">
        <v>0</v>
      </c>
      <c r="AG99" s="5">
        <v>0.03</v>
      </c>
      <c r="AH99" s="5">
        <v>0</v>
      </c>
      <c r="AI99" s="5">
        <v>0.03</v>
      </c>
      <c r="AJ99" s="5">
        <v>0</v>
      </c>
      <c r="AK99" s="5">
        <v>0</v>
      </c>
      <c r="AL99" s="5">
        <v>0</v>
      </c>
      <c r="AM99" s="5">
        <v>0</v>
      </c>
      <c r="AN99" s="5">
        <v>0.24</v>
      </c>
      <c r="AO99" s="5">
        <v>0</v>
      </c>
      <c r="AP99" s="45">
        <f t="shared" si="1"/>
        <v>1</v>
      </c>
    </row>
    <row r="100" spans="1:42" x14ac:dyDescent="0.25">
      <c r="A100" s="4" t="s">
        <v>530</v>
      </c>
      <c r="B100" s="4" t="s">
        <v>582</v>
      </c>
      <c r="C100" s="4" t="s">
        <v>557</v>
      </c>
      <c r="D100" s="5">
        <v>0.1295</v>
      </c>
      <c r="E100" s="5">
        <v>2E-3</v>
      </c>
      <c r="F100" s="5">
        <v>2E-3</v>
      </c>
      <c r="G100" s="5">
        <v>0</v>
      </c>
      <c r="H100" s="5">
        <v>0</v>
      </c>
      <c r="I100" s="5">
        <v>0</v>
      </c>
      <c r="J100" s="5">
        <v>0</v>
      </c>
      <c r="K100" s="5">
        <v>2.5000000000000001E-3</v>
      </c>
      <c r="L100" s="5">
        <v>0</v>
      </c>
      <c r="M100" s="5">
        <v>0</v>
      </c>
      <c r="N100" s="5">
        <v>0</v>
      </c>
      <c r="O100" s="5">
        <v>0</v>
      </c>
      <c r="P100" s="5">
        <v>3.3999999999999998E-3</v>
      </c>
      <c r="Q100" s="5">
        <v>0</v>
      </c>
      <c r="R100" s="5">
        <v>0.11700000000000001</v>
      </c>
      <c r="S100" s="5">
        <v>0</v>
      </c>
      <c r="T100" s="5">
        <v>0</v>
      </c>
      <c r="U100" s="5">
        <v>9.7299999999999998E-2</v>
      </c>
      <c r="V100" s="5">
        <v>0</v>
      </c>
      <c r="W100" s="5">
        <v>0</v>
      </c>
      <c r="X100" s="5">
        <v>9.7299999999999998E-2</v>
      </c>
      <c r="Y100" s="5">
        <v>0</v>
      </c>
      <c r="Z100" s="5">
        <v>0</v>
      </c>
      <c r="AA100" s="5">
        <v>5.0000000000000001E-3</v>
      </c>
      <c r="AB100" s="5">
        <v>0</v>
      </c>
      <c r="AC100" s="5">
        <v>0</v>
      </c>
      <c r="AD100" s="5">
        <v>0</v>
      </c>
      <c r="AE100" s="5">
        <v>0.24399999999999999</v>
      </c>
      <c r="AF100" s="5">
        <v>0</v>
      </c>
      <c r="AG100" s="5">
        <v>0.03</v>
      </c>
      <c r="AH100" s="5">
        <v>0</v>
      </c>
      <c r="AI100" s="5">
        <v>0.03</v>
      </c>
      <c r="AJ100" s="5">
        <v>0</v>
      </c>
      <c r="AK100" s="5">
        <v>0</v>
      </c>
      <c r="AL100" s="5">
        <v>0</v>
      </c>
      <c r="AM100" s="5">
        <v>0</v>
      </c>
      <c r="AN100" s="5">
        <v>0.24</v>
      </c>
      <c r="AO100" s="5">
        <v>0</v>
      </c>
      <c r="AP100" s="45">
        <f t="shared" si="1"/>
        <v>1</v>
      </c>
    </row>
    <row r="101" spans="1:42" x14ac:dyDescent="0.25">
      <c r="A101" s="4" t="s">
        <v>531</v>
      </c>
      <c r="B101" s="4" t="s">
        <v>582</v>
      </c>
      <c r="C101" s="4" t="s">
        <v>557</v>
      </c>
      <c r="D101" s="5">
        <v>0.12889999999999999</v>
      </c>
      <c r="E101" s="5">
        <v>2E-3</v>
      </c>
      <c r="F101" s="5">
        <v>2E-3</v>
      </c>
      <c r="G101" s="5">
        <v>0</v>
      </c>
      <c r="H101" s="5">
        <v>0</v>
      </c>
      <c r="I101" s="5">
        <v>2.5000000000000001E-3</v>
      </c>
      <c r="J101" s="5">
        <v>0</v>
      </c>
      <c r="K101" s="5">
        <v>0</v>
      </c>
      <c r="L101" s="5">
        <v>1E-3</v>
      </c>
      <c r="M101" s="5">
        <v>0</v>
      </c>
      <c r="N101" s="5">
        <v>0</v>
      </c>
      <c r="O101" s="5">
        <v>3.0000000000000001E-3</v>
      </c>
      <c r="P101" s="5">
        <v>0</v>
      </c>
      <c r="Q101" s="5">
        <v>0</v>
      </c>
      <c r="R101" s="5">
        <v>0.11700000000000001</v>
      </c>
      <c r="S101" s="5">
        <v>0</v>
      </c>
      <c r="T101" s="5">
        <v>0</v>
      </c>
      <c r="U101" s="5">
        <v>9.7299999999999998E-2</v>
      </c>
      <c r="V101" s="5">
        <v>0</v>
      </c>
      <c r="W101" s="5">
        <v>0</v>
      </c>
      <c r="X101" s="5">
        <v>9.7299999999999998E-2</v>
      </c>
      <c r="Y101" s="5">
        <v>0</v>
      </c>
      <c r="Z101" s="5">
        <v>0</v>
      </c>
      <c r="AA101" s="5">
        <v>5.0000000000000001E-3</v>
      </c>
      <c r="AB101" s="5">
        <v>0</v>
      </c>
      <c r="AC101" s="5">
        <v>0</v>
      </c>
      <c r="AD101" s="5">
        <v>0</v>
      </c>
      <c r="AE101" s="5">
        <v>0.24399999999999999</v>
      </c>
      <c r="AF101" s="5">
        <v>0</v>
      </c>
      <c r="AG101" s="5">
        <v>0.03</v>
      </c>
      <c r="AH101" s="5">
        <v>0</v>
      </c>
      <c r="AI101" s="5">
        <v>0.03</v>
      </c>
      <c r="AJ101" s="5">
        <v>0</v>
      </c>
      <c r="AK101" s="5">
        <v>0</v>
      </c>
      <c r="AL101" s="5">
        <v>0</v>
      </c>
      <c r="AM101" s="5">
        <v>0</v>
      </c>
      <c r="AN101" s="5">
        <v>0.24</v>
      </c>
      <c r="AO101" s="5">
        <v>0</v>
      </c>
      <c r="AP101" s="45">
        <f t="shared" si="1"/>
        <v>1</v>
      </c>
    </row>
    <row r="102" spans="1:42" x14ac:dyDescent="0.25">
      <c r="A102" s="4" t="s">
        <v>533</v>
      </c>
      <c r="B102" s="4" t="s">
        <v>582</v>
      </c>
      <c r="C102" s="4" t="s">
        <v>557</v>
      </c>
      <c r="D102" s="5">
        <v>0.12889999999999999</v>
      </c>
      <c r="E102" s="5">
        <v>2E-3</v>
      </c>
      <c r="F102" s="5">
        <v>2E-3</v>
      </c>
      <c r="G102" s="5">
        <v>0</v>
      </c>
      <c r="H102" s="5">
        <v>0</v>
      </c>
      <c r="I102" s="5">
        <v>0</v>
      </c>
      <c r="J102" s="5">
        <v>0</v>
      </c>
      <c r="K102" s="5">
        <v>2.5000000000000001E-3</v>
      </c>
      <c r="L102" s="5">
        <v>1E-3</v>
      </c>
      <c r="M102" s="5">
        <v>0</v>
      </c>
      <c r="N102" s="5">
        <v>0</v>
      </c>
      <c r="O102" s="5">
        <v>3.0000000000000001E-3</v>
      </c>
      <c r="P102" s="5">
        <v>0</v>
      </c>
      <c r="Q102" s="5">
        <v>0</v>
      </c>
      <c r="R102" s="5">
        <v>0.11700000000000001</v>
      </c>
      <c r="S102" s="5">
        <v>0</v>
      </c>
      <c r="T102" s="5">
        <v>0</v>
      </c>
      <c r="U102" s="5">
        <v>9.7299999999999998E-2</v>
      </c>
      <c r="V102" s="5">
        <v>0</v>
      </c>
      <c r="W102" s="5">
        <v>0</v>
      </c>
      <c r="X102" s="5">
        <v>9.7299999999999998E-2</v>
      </c>
      <c r="Y102" s="5">
        <v>0</v>
      </c>
      <c r="Z102" s="5">
        <v>0</v>
      </c>
      <c r="AA102" s="5">
        <v>5.0000000000000001E-3</v>
      </c>
      <c r="AB102" s="5">
        <v>0</v>
      </c>
      <c r="AC102" s="5">
        <v>0</v>
      </c>
      <c r="AD102" s="5">
        <v>0</v>
      </c>
      <c r="AE102" s="5">
        <v>0.24399999999999999</v>
      </c>
      <c r="AF102" s="5">
        <v>0</v>
      </c>
      <c r="AG102" s="5">
        <v>0.03</v>
      </c>
      <c r="AH102" s="5">
        <v>0</v>
      </c>
      <c r="AI102" s="5">
        <v>0.03</v>
      </c>
      <c r="AJ102" s="5">
        <v>0</v>
      </c>
      <c r="AK102" s="5">
        <v>0</v>
      </c>
      <c r="AL102" s="5">
        <v>0</v>
      </c>
      <c r="AM102" s="5">
        <v>0</v>
      </c>
      <c r="AN102" s="5">
        <v>0.24</v>
      </c>
      <c r="AO102" s="5">
        <v>0</v>
      </c>
      <c r="AP102" s="45">
        <f t="shared" si="1"/>
        <v>1</v>
      </c>
    </row>
    <row r="103" spans="1:42" x14ac:dyDescent="0.25">
      <c r="A103" s="4" t="s">
        <v>534</v>
      </c>
      <c r="B103" s="4" t="s">
        <v>582</v>
      </c>
      <c r="C103" s="4" t="s">
        <v>557</v>
      </c>
      <c r="D103" s="5">
        <v>0.12909999999999999</v>
      </c>
      <c r="E103" s="5">
        <v>2.0999999999999999E-3</v>
      </c>
      <c r="F103" s="5">
        <v>2E-3</v>
      </c>
      <c r="G103" s="5">
        <v>0</v>
      </c>
      <c r="H103" s="5">
        <v>0</v>
      </c>
      <c r="I103" s="5">
        <v>2.3E-3</v>
      </c>
      <c r="J103" s="5">
        <v>0</v>
      </c>
      <c r="K103" s="5">
        <v>0</v>
      </c>
      <c r="L103" s="5">
        <v>1.5E-3</v>
      </c>
      <c r="M103" s="5">
        <v>0</v>
      </c>
      <c r="N103" s="5">
        <v>0</v>
      </c>
      <c r="O103" s="5">
        <v>3.0000000000000001E-3</v>
      </c>
      <c r="P103" s="5">
        <v>0</v>
      </c>
      <c r="Q103" s="5">
        <v>0</v>
      </c>
      <c r="R103" s="5">
        <v>0.11700000000000001</v>
      </c>
      <c r="S103" s="5">
        <v>0</v>
      </c>
      <c r="T103" s="5">
        <v>0</v>
      </c>
      <c r="U103" s="5">
        <v>9.7000000000000003E-2</v>
      </c>
      <c r="V103" s="5">
        <v>0</v>
      </c>
      <c r="W103" s="5">
        <v>0</v>
      </c>
      <c r="X103" s="5">
        <v>9.7000000000000003E-2</v>
      </c>
      <c r="Y103" s="5">
        <v>0</v>
      </c>
      <c r="Z103" s="5">
        <v>0</v>
      </c>
      <c r="AA103" s="5">
        <v>5.0000000000000001E-3</v>
      </c>
      <c r="AB103" s="5">
        <v>0</v>
      </c>
      <c r="AC103" s="5">
        <v>0</v>
      </c>
      <c r="AD103" s="5">
        <v>0</v>
      </c>
      <c r="AE103" s="5">
        <v>0.24399999999999999</v>
      </c>
      <c r="AF103" s="5">
        <v>0</v>
      </c>
      <c r="AG103" s="5">
        <v>0.03</v>
      </c>
      <c r="AH103" s="5">
        <v>0</v>
      </c>
      <c r="AI103" s="5">
        <v>0.03</v>
      </c>
      <c r="AJ103" s="5">
        <v>0</v>
      </c>
      <c r="AK103" s="5">
        <v>0</v>
      </c>
      <c r="AL103" s="5">
        <v>0</v>
      </c>
      <c r="AM103" s="5">
        <v>0</v>
      </c>
      <c r="AN103" s="5">
        <v>0.24</v>
      </c>
      <c r="AO103" s="5">
        <v>0</v>
      </c>
      <c r="AP103" s="45">
        <f t="shared" si="1"/>
        <v>1</v>
      </c>
    </row>
    <row r="104" spans="1:42" x14ac:dyDescent="0.25">
      <c r="A104" s="4" t="s">
        <v>535</v>
      </c>
      <c r="B104" s="4" t="s">
        <v>582</v>
      </c>
      <c r="C104" s="4" t="s">
        <v>557</v>
      </c>
      <c r="D104" s="5">
        <v>0.12959999999999999</v>
      </c>
      <c r="E104" s="5">
        <v>2E-3</v>
      </c>
      <c r="F104" s="5">
        <v>2E-3</v>
      </c>
      <c r="G104" s="5">
        <v>0</v>
      </c>
      <c r="H104" s="5">
        <v>0</v>
      </c>
      <c r="I104" s="5">
        <v>2.5000000000000001E-3</v>
      </c>
      <c r="J104" s="5">
        <v>0</v>
      </c>
      <c r="K104" s="5">
        <v>0</v>
      </c>
      <c r="L104" s="5">
        <v>1.5E-3</v>
      </c>
      <c r="M104" s="5">
        <v>0</v>
      </c>
      <c r="N104" s="5">
        <v>0</v>
      </c>
      <c r="O104" s="5">
        <v>3.0000000000000001E-3</v>
      </c>
      <c r="P104" s="5">
        <v>0</v>
      </c>
      <c r="Q104" s="5">
        <v>0</v>
      </c>
      <c r="R104" s="5">
        <v>0.11700000000000001</v>
      </c>
      <c r="S104" s="5">
        <v>0</v>
      </c>
      <c r="T104" s="5">
        <v>0</v>
      </c>
      <c r="U104" s="5">
        <v>9.7100000000000006E-2</v>
      </c>
      <c r="V104" s="5">
        <v>0</v>
      </c>
      <c r="W104" s="5">
        <v>0</v>
      </c>
      <c r="X104" s="5">
        <v>9.7100000000000006E-2</v>
      </c>
      <c r="Y104" s="5">
        <v>0</v>
      </c>
      <c r="Z104" s="5">
        <v>0</v>
      </c>
      <c r="AA104" s="5">
        <v>5.0000000000000001E-3</v>
      </c>
      <c r="AB104" s="5">
        <v>0</v>
      </c>
      <c r="AC104" s="5">
        <v>0</v>
      </c>
      <c r="AD104" s="5">
        <v>0</v>
      </c>
      <c r="AE104" s="5">
        <v>0.24729999999999999</v>
      </c>
      <c r="AF104" s="5">
        <v>0</v>
      </c>
      <c r="AG104" s="5">
        <v>0.03</v>
      </c>
      <c r="AH104" s="5">
        <v>0</v>
      </c>
      <c r="AI104" s="5">
        <v>0.03</v>
      </c>
      <c r="AJ104" s="5">
        <v>0</v>
      </c>
      <c r="AK104" s="5">
        <v>0</v>
      </c>
      <c r="AL104" s="5">
        <v>0</v>
      </c>
      <c r="AM104" s="5">
        <v>0</v>
      </c>
      <c r="AN104" s="5">
        <v>0.23949999999999999</v>
      </c>
      <c r="AO104" s="5">
        <v>0</v>
      </c>
      <c r="AP104" s="45">
        <f t="shared" si="1"/>
        <v>1.0036</v>
      </c>
    </row>
    <row r="105" spans="1:42" x14ac:dyDescent="0.25">
      <c r="A105" s="4" t="s">
        <v>536</v>
      </c>
      <c r="B105" s="4" t="s">
        <v>582</v>
      </c>
      <c r="C105" s="4" t="s">
        <v>557</v>
      </c>
      <c r="D105" s="5">
        <v>0.12959999999999999</v>
      </c>
      <c r="E105" s="5">
        <v>2E-3</v>
      </c>
      <c r="F105" s="5">
        <v>2E-3</v>
      </c>
      <c r="G105" s="5">
        <v>0</v>
      </c>
      <c r="H105" s="5">
        <v>0</v>
      </c>
      <c r="I105" s="5">
        <v>2.5000000000000001E-3</v>
      </c>
      <c r="J105" s="5">
        <v>0</v>
      </c>
      <c r="K105" s="5">
        <v>0</v>
      </c>
      <c r="L105" s="5">
        <v>1.5E-3</v>
      </c>
      <c r="M105" s="5">
        <v>0</v>
      </c>
      <c r="N105" s="5">
        <v>0</v>
      </c>
      <c r="O105" s="5">
        <v>3.0000000000000001E-3</v>
      </c>
      <c r="P105" s="5">
        <v>0</v>
      </c>
      <c r="Q105" s="5">
        <v>0</v>
      </c>
      <c r="R105" s="5">
        <v>0.11700000000000001</v>
      </c>
      <c r="S105" s="5">
        <v>0</v>
      </c>
      <c r="T105" s="5">
        <v>0</v>
      </c>
      <c r="U105" s="5">
        <v>9.7100000000000006E-2</v>
      </c>
      <c r="V105" s="5">
        <v>0</v>
      </c>
      <c r="W105" s="5">
        <v>0</v>
      </c>
      <c r="X105" s="5">
        <v>9.7100000000000006E-2</v>
      </c>
      <c r="Y105" s="5">
        <v>0</v>
      </c>
      <c r="Z105" s="5">
        <v>0</v>
      </c>
      <c r="AA105" s="5">
        <v>5.0000000000000001E-3</v>
      </c>
      <c r="AB105" s="5">
        <v>0</v>
      </c>
      <c r="AC105" s="5">
        <v>0</v>
      </c>
      <c r="AD105" s="5">
        <v>0</v>
      </c>
      <c r="AE105" s="5">
        <v>0.24729999999999999</v>
      </c>
      <c r="AF105" s="5">
        <v>0</v>
      </c>
      <c r="AG105" s="5">
        <v>0.03</v>
      </c>
      <c r="AH105" s="5">
        <v>0</v>
      </c>
      <c r="AI105" s="5">
        <v>0.03</v>
      </c>
      <c r="AJ105" s="5">
        <v>0</v>
      </c>
      <c r="AK105" s="5">
        <v>0</v>
      </c>
      <c r="AL105" s="5">
        <v>0</v>
      </c>
      <c r="AM105" s="5">
        <v>0</v>
      </c>
      <c r="AN105" s="5">
        <v>0.23949999999999999</v>
      </c>
      <c r="AO105" s="5">
        <v>0</v>
      </c>
      <c r="AP105" s="45">
        <f t="shared" si="1"/>
        <v>1.0036</v>
      </c>
    </row>
    <row r="106" spans="1:42" x14ac:dyDescent="0.25">
      <c r="A106" s="4" t="s">
        <v>537</v>
      </c>
      <c r="B106" s="4" t="s">
        <v>582</v>
      </c>
      <c r="C106" s="4" t="s">
        <v>557</v>
      </c>
      <c r="D106" s="5">
        <v>0.12959999999999999</v>
      </c>
      <c r="E106" s="5">
        <v>2E-3</v>
      </c>
      <c r="F106" s="5">
        <v>2E-3</v>
      </c>
      <c r="G106" s="5">
        <v>0</v>
      </c>
      <c r="H106" s="5">
        <v>0</v>
      </c>
      <c r="I106" s="5">
        <v>2.5000000000000001E-3</v>
      </c>
      <c r="J106" s="5">
        <v>0</v>
      </c>
      <c r="K106" s="5">
        <v>0</v>
      </c>
      <c r="L106" s="5">
        <v>1.5E-3</v>
      </c>
      <c r="M106" s="5">
        <v>0</v>
      </c>
      <c r="N106" s="5">
        <v>0</v>
      </c>
      <c r="O106" s="5">
        <v>3.0000000000000001E-3</v>
      </c>
      <c r="P106" s="5">
        <v>0</v>
      </c>
      <c r="Q106" s="5">
        <v>0</v>
      </c>
      <c r="R106" s="5">
        <v>0.11700000000000001</v>
      </c>
      <c r="S106" s="5">
        <v>0</v>
      </c>
      <c r="T106" s="5">
        <v>0</v>
      </c>
      <c r="U106" s="5">
        <v>9.7100000000000006E-2</v>
      </c>
      <c r="V106" s="5">
        <v>0</v>
      </c>
      <c r="W106" s="5">
        <v>0</v>
      </c>
      <c r="X106" s="5">
        <v>9.7100000000000006E-2</v>
      </c>
      <c r="Y106" s="5">
        <v>0</v>
      </c>
      <c r="Z106" s="5">
        <v>0</v>
      </c>
      <c r="AA106" s="5">
        <v>5.0000000000000001E-3</v>
      </c>
      <c r="AB106" s="5">
        <v>0</v>
      </c>
      <c r="AC106" s="5">
        <v>0</v>
      </c>
      <c r="AD106" s="5">
        <v>0</v>
      </c>
      <c r="AE106" s="5">
        <v>0.24729999999999999</v>
      </c>
      <c r="AF106" s="5">
        <v>0</v>
      </c>
      <c r="AG106" s="5">
        <v>0.03</v>
      </c>
      <c r="AH106" s="5">
        <v>0</v>
      </c>
      <c r="AI106" s="5">
        <v>0.03</v>
      </c>
      <c r="AJ106" s="5">
        <v>0</v>
      </c>
      <c r="AK106" s="5">
        <v>0</v>
      </c>
      <c r="AL106" s="5">
        <v>0</v>
      </c>
      <c r="AM106" s="5">
        <v>0</v>
      </c>
      <c r="AN106" s="5">
        <v>0.23949999999999999</v>
      </c>
      <c r="AO106" s="5">
        <v>0</v>
      </c>
      <c r="AP106" s="45">
        <f t="shared" si="1"/>
        <v>1.0036</v>
      </c>
    </row>
    <row r="107" spans="1:42" x14ac:dyDescent="0.25">
      <c r="A107" s="4" t="s">
        <v>538</v>
      </c>
      <c r="B107" s="4" t="s">
        <v>582</v>
      </c>
      <c r="C107" s="4" t="s">
        <v>557</v>
      </c>
      <c r="D107" s="5">
        <v>0.12959999999999999</v>
      </c>
      <c r="E107" s="5">
        <v>2E-3</v>
      </c>
      <c r="F107" s="5">
        <v>2E-3</v>
      </c>
      <c r="G107" s="5">
        <v>0</v>
      </c>
      <c r="H107" s="5">
        <v>0</v>
      </c>
      <c r="I107" s="5">
        <v>2.5999999999999999E-3</v>
      </c>
      <c r="J107" s="5">
        <v>0</v>
      </c>
      <c r="K107" s="5">
        <v>0</v>
      </c>
      <c r="L107" s="5">
        <v>3.0000000000000001E-3</v>
      </c>
      <c r="M107" s="5">
        <v>0</v>
      </c>
      <c r="N107" s="5">
        <v>0</v>
      </c>
      <c r="O107" s="5">
        <v>2.5000000000000001E-3</v>
      </c>
      <c r="P107" s="5">
        <v>0</v>
      </c>
      <c r="Q107" s="5">
        <v>0</v>
      </c>
      <c r="R107" s="5">
        <v>0.1166</v>
      </c>
      <c r="S107" s="5">
        <v>0</v>
      </c>
      <c r="T107" s="5">
        <v>0</v>
      </c>
      <c r="U107" s="5">
        <v>9.6699999999999994E-2</v>
      </c>
      <c r="V107" s="5">
        <v>0</v>
      </c>
      <c r="W107" s="5">
        <v>0</v>
      </c>
      <c r="X107" s="5">
        <v>9.6699999999999994E-2</v>
      </c>
      <c r="Y107" s="5">
        <v>0</v>
      </c>
      <c r="Z107" s="5">
        <v>0</v>
      </c>
      <c r="AA107" s="5">
        <v>5.0000000000000001E-3</v>
      </c>
      <c r="AB107" s="5">
        <v>0</v>
      </c>
      <c r="AC107" s="5">
        <v>0</v>
      </c>
      <c r="AD107" s="5">
        <v>0</v>
      </c>
      <c r="AE107" s="5">
        <v>0.24329999999999999</v>
      </c>
      <c r="AF107" s="5">
        <v>0</v>
      </c>
      <c r="AG107" s="5">
        <v>0.03</v>
      </c>
      <c r="AH107" s="5">
        <v>0</v>
      </c>
      <c r="AI107" s="5">
        <v>0.03</v>
      </c>
      <c r="AJ107" s="5">
        <v>0</v>
      </c>
      <c r="AK107" s="5">
        <v>0</v>
      </c>
      <c r="AL107" s="5">
        <v>0</v>
      </c>
      <c r="AM107" s="5">
        <v>0</v>
      </c>
      <c r="AN107" s="5">
        <v>0.23949999999999999</v>
      </c>
      <c r="AO107" s="5">
        <v>0</v>
      </c>
      <c r="AP107" s="45">
        <f t="shared" si="1"/>
        <v>0.99950000000000006</v>
      </c>
    </row>
    <row r="108" spans="1:42" x14ac:dyDescent="0.25">
      <c r="A108" s="4" t="s">
        <v>539</v>
      </c>
      <c r="B108" s="4" t="s">
        <v>582</v>
      </c>
      <c r="C108" s="4" t="s">
        <v>557</v>
      </c>
      <c r="D108" s="5">
        <v>0.12959999999999999</v>
      </c>
      <c r="E108" s="5">
        <v>2E-3</v>
      </c>
      <c r="F108" s="5">
        <v>2E-3</v>
      </c>
      <c r="G108" s="5">
        <v>0</v>
      </c>
      <c r="H108" s="5">
        <v>0</v>
      </c>
      <c r="I108" s="5">
        <v>2.5999999999999999E-3</v>
      </c>
      <c r="J108" s="5">
        <v>0</v>
      </c>
      <c r="K108" s="5">
        <v>0</v>
      </c>
      <c r="L108" s="5">
        <v>4.4999999999999997E-3</v>
      </c>
      <c r="M108" s="5">
        <v>0</v>
      </c>
      <c r="N108" s="5">
        <v>0</v>
      </c>
      <c r="O108" s="5">
        <v>2.5000000000000001E-3</v>
      </c>
      <c r="P108" s="5">
        <v>0</v>
      </c>
      <c r="Q108" s="5">
        <v>0</v>
      </c>
      <c r="R108" s="5">
        <v>0.11600000000000001</v>
      </c>
      <c r="S108" s="5">
        <v>0</v>
      </c>
      <c r="T108" s="5">
        <v>0</v>
      </c>
      <c r="U108" s="5">
        <v>9.64E-2</v>
      </c>
      <c r="V108" s="5">
        <v>0</v>
      </c>
      <c r="W108" s="5">
        <v>0</v>
      </c>
      <c r="X108" s="5">
        <v>9.64E-2</v>
      </c>
      <c r="Y108" s="5">
        <v>0</v>
      </c>
      <c r="Z108" s="5">
        <v>0</v>
      </c>
      <c r="AA108" s="5">
        <v>5.0000000000000001E-3</v>
      </c>
      <c r="AB108" s="5">
        <v>0</v>
      </c>
      <c r="AC108" s="5">
        <v>0</v>
      </c>
      <c r="AD108" s="5">
        <v>0</v>
      </c>
      <c r="AE108" s="5">
        <v>0.24299999999999999</v>
      </c>
      <c r="AF108" s="5">
        <v>0</v>
      </c>
      <c r="AG108" s="5">
        <v>0.03</v>
      </c>
      <c r="AH108" s="5">
        <v>0</v>
      </c>
      <c r="AI108" s="5">
        <v>0.03</v>
      </c>
      <c r="AJ108" s="5">
        <v>0</v>
      </c>
      <c r="AK108" s="5">
        <v>0</v>
      </c>
      <c r="AL108" s="5">
        <v>0</v>
      </c>
      <c r="AM108" s="5">
        <v>0</v>
      </c>
      <c r="AN108" s="5">
        <v>0.23949999999999999</v>
      </c>
      <c r="AO108" s="5">
        <v>0</v>
      </c>
      <c r="AP108" s="45">
        <f t="shared" si="1"/>
        <v>0.99950000000000006</v>
      </c>
    </row>
    <row r="109" spans="1:42" x14ac:dyDescent="0.25">
      <c r="A109" s="4" t="s">
        <v>540</v>
      </c>
      <c r="B109" s="4" t="s">
        <v>582</v>
      </c>
      <c r="C109" s="4" t="s">
        <v>557</v>
      </c>
      <c r="D109" s="5">
        <v>0.12959999999999999</v>
      </c>
      <c r="E109" s="5">
        <v>2E-3</v>
      </c>
      <c r="F109" s="5">
        <v>2E-3</v>
      </c>
      <c r="G109" s="5">
        <v>0</v>
      </c>
      <c r="H109" s="5">
        <v>0</v>
      </c>
      <c r="I109" s="5">
        <v>2.0999999999999999E-3</v>
      </c>
      <c r="J109" s="5">
        <v>0</v>
      </c>
      <c r="K109" s="5">
        <v>0</v>
      </c>
      <c r="L109" s="5">
        <v>5.0000000000000001E-3</v>
      </c>
      <c r="M109" s="5">
        <v>0</v>
      </c>
      <c r="N109" s="5">
        <v>0</v>
      </c>
      <c r="O109" s="5">
        <v>2.5000000000000001E-3</v>
      </c>
      <c r="P109" s="5">
        <v>0</v>
      </c>
      <c r="Q109" s="5">
        <v>0</v>
      </c>
      <c r="R109" s="5">
        <v>0.11600000000000001</v>
      </c>
      <c r="S109" s="5">
        <v>0</v>
      </c>
      <c r="T109" s="5">
        <v>0</v>
      </c>
      <c r="U109" s="5">
        <v>9.64E-2</v>
      </c>
      <c r="V109" s="5">
        <v>0</v>
      </c>
      <c r="W109" s="5">
        <v>0</v>
      </c>
      <c r="X109" s="5">
        <v>9.64E-2</v>
      </c>
      <c r="Y109" s="5">
        <v>0</v>
      </c>
      <c r="Z109" s="5">
        <v>0</v>
      </c>
      <c r="AA109" s="5">
        <v>5.0000000000000001E-3</v>
      </c>
      <c r="AB109" s="5">
        <v>0</v>
      </c>
      <c r="AC109" s="5">
        <v>0</v>
      </c>
      <c r="AD109" s="5">
        <v>0</v>
      </c>
      <c r="AE109" s="5">
        <v>0.24299999999999999</v>
      </c>
      <c r="AF109" s="5">
        <v>0</v>
      </c>
      <c r="AG109" s="5">
        <v>0.03</v>
      </c>
      <c r="AH109" s="5">
        <v>0</v>
      </c>
      <c r="AI109" s="5">
        <v>0.03</v>
      </c>
      <c r="AJ109" s="5">
        <v>0</v>
      </c>
      <c r="AK109" s="5">
        <v>0</v>
      </c>
      <c r="AL109" s="5">
        <v>0</v>
      </c>
      <c r="AM109" s="5">
        <v>0</v>
      </c>
      <c r="AN109" s="5">
        <v>0.23949999999999999</v>
      </c>
      <c r="AO109" s="5">
        <v>0</v>
      </c>
      <c r="AP109" s="45">
        <f t="shared" si="1"/>
        <v>0.99950000000000006</v>
      </c>
    </row>
    <row r="110" spans="1:42" x14ac:dyDescent="0.25">
      <c r="A110" s="4" t="s">
        <v>541</v>
      </c>
      <c r="B110" s="4" t="s">
        <v>582</v>
      </c>
      <c r="C110" s="4" t="s">
        <v>557</v>
      </c>
      <c r="D110" s="5">
        <v>0.12959999999999999</v>
      </c>
      <c r="E110" s="5">
        <v>2E-3</v>
      </c>
      <c r="F110" s="5">
        <v>2E-3</v>
      </c>
      <c r="G110" s="5">
        <v>0</v>
      </c>
      <c r="H110" s="5">
        <v>0</v>
      </c>
      <c r="I110" s="5">
        <v>1.5E-3</v>
      </c>
      <c r="J110" s="5">
        <v>0</v>
      </c>
      <c r="K110" s="5">
        <v>0</v>
      </c>
      <c r="L110" s="5">
        <v>5.0000000000000001E-3</v>
      </c>
      <c r="M110" s="5">
        <v>0</v>
      </c>
      <c r="N110" s="5">
        <v>0</v>
      </c>
      <c r="O110" s="5">
        <v>2.5000000000000001E-3</v>
      </c>
      <c r="P110" s="5">
        <v>0</v>
      </c>
      <c r="Q110" s="5">
        <v>0</v>
      </c>
      <c r="R110" s="5">
        <v>0.11600000000000001</v>
      </c>
      <c r="S110" s="5">
        <v>0</v>
      </c>
      <c r="T110" s="5">
        <v>0</v>
      </c>
      <c r="U110" s="5">
        <v>9.64E-2</v>
      </c>
      <c r="V110" s="5">
        <v>0</v>
      </c>
      <c r="W110" s="5">
        <v>0</v>
      </c>
      <c r="X110" s="5">
        <v>9.64E-2</v>
      </c>
      <c r="Y110" s="5">
        <v>0</v>
      </c>
      <c r="Z110" s="5">
        <v>0</v>
      </c>
      <c r="AA110" s="5">
        <v>5.0000000000000001E-3</v>
      </c>
      <c r="AB110" s="5">
        <v>0</v>
      </c>
      <c r="AC110" s="5">
        <v>0</v>
      </c>
      <c r="AD110" s="5">
        <v>0</v>
      </c>
      <c r="AE110" s="5">
        <v>0.24299999999999999</v>
      </c>
      <c r="AF110" s="5">
        <v>0</v>
      </c>
      <c r="AG110" s="5">
        <v>0.03</v>
      </c>
      <c r="AH110" s="5">
        <v>0</v>
      </c>
      <c r="AI110" s="5">
        <v>0.03</v>
      </c>
      <c r="AJ110" s="5">
        <v>0</v>
      </c>
      <c r="AK110" s="5">
        <v>0</v>
      </c>
      <c r="AL110" s="5">
        <v>0</v>
      </c>
      <c r="AM110" s="5">
        <v>0</v>
      </c>
      <c r="AN110" s="5">
        <v>0.23949999999999999</v>
      </c>
      <c r="AO110" s="5">
        <v>0</v>
      </c>
      <c r="AP110" s="45">
        <f t="shared" si="1"/>
        <v>0.99890000000000012</v>
      </c>
    </row>
    <row r="111" spans="1:42" x14ac:dyDescent="0.25">
      <c r="A111" s="4" t="s">
        <v>542</v>
      </c>
      <c r="B111" s="4" t="s">
        <v>582</v>
      </c>
      <c r="C111" s="4" t="s">
        <v>557</v>
      </c>
      <c r="D111" s="5">
        <v>0.1288</v>
      </c>
      <c r="E111" s="5">
        <v>2E-3</v>
      </c>
      <c r="F111" s="5">
        <v>2E-3</v>
      </c>
      <c r="G111" s="5">
        <v>0</v>
      </c>
      <c r="H111" s="5">
        <v>0</v>
      </c>
      <c r="I111" s="5">
        <v>1.5E-3</v>
      </c>
      <c r="J111" s="5">
        <v>0</v>
      </c>
      <c r="K111" s="5">
        <v>0</v>
      </c>
      <c r="L111" s="5">
        <v>5.0000000000000001E-3</v>
      </c>
      <c r="M111" s="5">
        <v>1.4E-3</v>
      </c>
      <c r="N111" s="5">
        <v>0</v>
      </c>
      <c r="O111" s="5">
        <v>2.5000000000000001E-3</v>
      </c>
      <c r="P111" s="5">
        <v>0</v>
      </c>
      <c r="Q111" s="5">
        <v>0</v>
      </c>
      <c r="R111" s="5">
        <v>0.11600000000000001</v>
      </c>
      <c r="S111" s="5">
        <v>0</v>
      </c>
      <c r="T111" s="5">
        <v>0</v>
      </c>
      <c r="U111" s="5">
        <v>9.64E-2</v>
      </c>
      <c r="V111" s="5">
        <v>0</v>
      </c>
      <c r="W111" s="5">
        <v>0</v>
      </c>
      <c r="X111" s="5">
        <v>9.64E-2</v>
      </c>
      <c r="Y111" s="5">
        <v>0</v>
      </c>
      <c r="Z111" s="5">
        <v>0</v>
      </c>
      <c r="AA111" s="5">
        <v>5.0000000000000001E-3</v>
      </c>
      <c r="AB111" s="5">
        <v>0</v>
      </c>
      <c r="AC111" s="5">
        <v>0</v>
      </c>
      <c r="AD111" s="5">
        <v>0</v>
      </c>
      <c r="AE111" s="5">
        <v>0.24299999999999999</v>
      </c>
      <c r="AF111" s="5">
        <v>0</v>
      </c>
      <c r="AG111" s="5">
        <v>0.03</v>
      </c>
      <c r="AH111" s="5">
        <v>0</v>
      </c>
      <c r="AI111" s="5">
        <v>0.03</v>
      </c>
      <c r="AJ111" s="5">
        <v>0</v>
      </c>
      <c r="AK111" s="5">
        <v>0</v>
      </c>
      <c r="AL111" s="5">
        <v>0</v>
      </c>
      <c r="AM111" s="5">
        <v>0</v>
      </c>
      <c r="AN111" s="5">
        <v>0.23949999999999999</v>
      </c>
      <c r="AO111" s="5">
        <v>0</v>
      </c>
      <c r="AP111" s="45">
        <f t="shared" si="1"/>
        <v>0.99950000000000006</v>
      </c>
    </row>
    <row r="112" spans="1:42" x14ac:dyDescent="0.25">
      <c r="A112" s="4" t="s">
        <v>544</v>
      </c>
      <c r="B112" s="4" t="s">
        <v>582</v>
      </c>
      <c r="C112" s="4" t="s">
        <v>557</v>
      </c>
      <c r="D112" s="5">
        <v>0.1288</v>
      </c>
      <c r="E112" s="5">
        <v>2E-3</v>
      </c>
      <c r="F112" s="5">
        <v>2E-3</v>
      </c>
      <c r="G112" s="5">
        <v>0</v>
      </c>
      <c r="H112" s="5">
        <v>0</v>
      </c>
      <c r="I112" s="5">
        <v>1.5E-3</v>
      </c>
      <c r="J112" s="5">
        <v>0</v>
      </c>
      <c r="K112" s="5">
        <v>0</v>
      </c>
      <c r="L112" s="5">
        <v>5.0000000000000001E-3</v>
      </c>
      <c r="M112" s="5">
        <v>0</v>
      </c>
      <c r="N112" s="5">
        <v>1.4E-3</v>
      </c>
      <c r="O112" s="5">
        <v>2.5000000000000001E-3</v>
      </c>
      <c r="P112" s="5">
        <v>0</v>
      </c>
      <c r="Q112" s="5">
        <v>0</v>
      </c>
      <c r="R112" s="5">
        <v>0.11600000000000001</v>
      </c>
      <c r="S112" s="5">
        <v>0</v>
      </c>
      <c r="T112" s="5">
        <v>0</v>
      </c>
      <c r="U112" s="5">
        <v>9.64E-2</v>
      </c>
      <c r="V112" s="5">
        <v>0</v>
      </c>
      <c r="W112" s="5">
        <v>0</v>
      </c>
      <c r="X112" s="5">
        <v>9.64E-2</v>
      </c>
      <c r="Y112" s="5">
        <v>0</v>
      </c>
      <c r="Z112" s="5">
        <v>0</v>
      </c>
      <c r="AA112" s="5">
        <v>5.0000000000000001E-3</v>
      </c>
      <c r="AB112" s="5">
        <v>0</v>
      </c>
      <c r="AC112" s="5">
        <v>0</v>
      </c>
      <c r="AD112" s="5">
        <v>0</v>
      </c>
      <c r="AE112" s="5">
        <v>0.24299999999999999</v>
      </c>
      <c r="AF112" s="5">
        <v>0</v>
      </c>
      <c r="AG112" s="5">
        <v>0.03</v>
      </c>
      <c r="AH112" s="5">
        <v>0</v>
      </c>
      <c r="AI112" s="5">
        <v>0.03</v>
      </c>
      <c r="AJ112" s="5">
        <v>0</v>
      </c>
      <c r="AK112" s="5">
        <v>0</v>
      </c>
      <c r="AL112" s="5">
        <v>0</v>
      </c>
      <c r="AM112" s="5">
        <v>0</v>
      </c>
      <c r="AN112" s="5">
        <v>0.23949999999999999</v>
      </c>
      <c r="AO112" s="5">
        <v>0</v>
      </c>
      <c r="AP112" s="45">
        <f t="shared" si="1"/>
        <v>0.99950000000000006</v>
      </c>
    </row>
    <row r="113" spans="1:42" x14ac:dyDescent="0.25">
      <c r="A113" s="4" t="s">
        <v>545</v>
      </c>
      <c r="B113" s="4" t="s">
        <v>582</v>
      </c>
      <c r="C113" s="4" t="s">
        <v>557</v>
      </c>
      <c r="D113" s="5">
        <v>0.14000000000000001</v>
      </c>
      <c r="E113" s="5">
        <v>2E-3</v>
      </c>
      <c r="F113" s="5">
        <v>2E-3</v>
      </c>
      <c r="G113" s="5">
        <v>0</v>
      </c>
      <c r="H113" s="5">
        <v>0</v>
      </c>
      <c r="I113" s="5">
        <v>1.5E-3</v>
      </c>
      <c r="J113" s="5">
        <v>0</v>
      </c>
      <c r="K113" s="5">
        <v>0</v>
      </c>
      <c r="L113" s="5">
        <v>5.0000000000000001E-3</v>
      </c>
      <c r="M113" s="5">
        <v>0</v>
      </c>
      <c r="N113" s="5">
        <v>0</v>
      </c>
      <c r="O113" s="5">
        <v>2.5000000000000001E-3</v>
      </c>
      <c r="P113" s="5">
        <v>0</v>
      </c>
      <c r="Q113" s="5">
        <v>0</v>
      </c>
      <c r="R113" s="5">
        <v>0.11600000000000001</v>
      </c>
      <c r="S113" s="5">
        <v>0</v>
      </c>
      <c r="T113" s="5">
        <v>0</v>
      </c>
      <c r="U113" s="5">
        <v>9.1499999999999998E-2</v>
      </c>
      <c r="V113" s="5">
        <v>0</v>
      </c>
      <c r="W113" s="5">
        <v>0</v>
      </c>
      <c r="X113" s="5">
        <v>9.35E-2</v>
      </c>
      <c r="Y113" s="5">
        <v>0</v>
      </c>
      <c r="Z113" s="5">
        <v>0</v>
      </c>
      <c r="AA113" s="5">
        <v>5.0000000000000001E-3</v>
      </c>
      <c r="AB113" s="5">
        <v>0</v>
      </c>
      <c r="AC113" s="5">
        <v>0</v>
      </c>
      <c r="AD113" s="5">
        <v>0</v>
      </c>
      <c r="AE113" s="5">
        <v>0.24199999999999999</v>
      </c>
      <c r="AF113" s="5">
        <v>0</v>
      </c>
      <c r="AG113" s="5">
        <v>0.04</v>
      </c>
      <c r="AH113" s="5">
        <v>0</v>
      </c>
      <c r="AI113" s="5">
        <v>0.02</v>
      </c>
      <c r="AJ113" s="5">
        <v>0</v>
      </c>
      <c r="AK113" s="5">
        <v>0</v>
      </c>
      <c r="AL113" s="5">
        <v>0</v>
      </c>
      <c r="AM113" s="5">
        <v>0</v>
      </c>
      <c r="AN113" s="5">
        <v>0.23949999999999999</v>
      </c>
      <c r="AO113" s="5">
        <v>0</v>
      </c>
      <c r="AP113" s="45">
        <f t="shared" si="1"/>
        <v>1.0005000000000002</v>
      </c>
    </row>
    <row r="114" spans="1:42" x14ac:dyDescent="0.25">
      <c r="A114" s="4" t="s">
        <v>546</v>
      </c>
      <c r="B114" s="4" t="s">
        <v>582</v>
      </c>
      <c r="C114" s="4" t="s">
        <v>557</v>
      </c>
      <c r="D114" s="5">
        <v>0.1396</v>
      </c>
      <c r="E114" s="5">
        <v>2E-3</v>
      </c>
      <c r="F114" s="5">
        <v>2E-3</v>
      </c>
      <c r="G114" s="5">
        <v>0</v>
      </c>
      <c r="H114" s="5">
        <v>0</v>
      </c>
      <c r="I114" s="5">
        <v>2.5999999999999999E-3</v>
      </c>
      <c r="J114" s="5">
        <v>0</v>
      </c>
      <c r="K114" s="5">
        <v>0</v>
      </c>
      <c r="L114" s="5">
        <v>4.4999999999999997E-3</v>
      </c>
      <c r="M114" s="5">
        <v>0</v>
      </c>
      <c r="N114" s="5">
        <v>0</v>
      </c>
      <c r="O114" s="5">
        <v>2.5000000000000001E-3</v>
      </c>
      <c r="P114" s="5">
        <v>0</v>
      </c>
      <c r="Q114" s="5">
        <v>0</v>
      </c>
      <c r="R114" s="5">
        <v>0.11600000000000001</v>
      </c>
      <c r="S114" s="5">
        <v>0</v>
      </c>
      <c r="T114" s="5">
        <v>0</v>
      </c>
      <c r="U114" s="5">
        <v>9.64E-2</v>
      </c>
      <c r="V114" s="5">
        <v>0</v>
      </c>
      <c r="W114" s="5">
        <v>0</v>
      </c>
      <c r="X114" s="5">
        <v>9.64E-2</v>
      </c>
      <c r="Y114" s="5">
        <v>0</v>
      </c>
      <c r="Z114" s="5">
        <v>0</v>
      </c>
      <c r="AA114" s="5">
        <v>5.0000000000000001E-3</v>
      </c>
      <c r="AB114" s="5">
        <v>0</v>
      </c>
      <c r="AC114" s="5">
        <v>0</v>
      </c>
      <c r="AD114" s="5">
        <v>0</v>
      </c>
      <c r="AE114" s="5">
        <v>0.24299999999999999</v>
      </c>
      <c r="AF114" s="5">
        <v>0</v>
      </c>
      <c r="AG114" s="5">
        <v>0.03</v>
      </c>
      <c r="AH114" s="5">
        <v>0</v>
      </c>
      <c r="AI114" s="5">
        <v>0.02</v>
      </c>
      <c r="AJ114" s="5">
        <v>0</v>
      </c>
      <c r="AK114" s="5">
        <v>0</v>
      </c>
      <c r="AL114" s="5">
        <v>0</v>
      </c>
      <c r="AM114" s="5">
        <v>0</v>
      </c>
      <c r="AN114" s="5">
        <v>0.23949999999999999</v>
      </c>
      <c r="AO114" s="5">
        <v>0</v>
      </c>
      <c r="AP114" s="45">
        <f t="shared" si="1"/>
        <v>0.99950000000000006</v>
      </c>
    </row>
    <row r="115" spans="1:42" x14ac:dyDescent="0.25">
      <c r="A115" s="4" t="s">
        <v>547</v>
      </c>
      <c r="B115" s="4" t="s">
        <v>582</v>
      </c>
      <c r="C115" s="4" t="s">
        <v>557</v>
      </c>
      <c r="D115" s="5">
        <v>0.15409999999999999</v>
      </c>
      <c r="E115" s="5">
        <v>2E-3</v>
      </c>
      <c r="F115" s="5">
        <v>2E-3</v>
      </c>
      <c r="G115" s="5">
        <v>0</v>
      </c>
      <c r="H115" s="5">
        <v>0</v>
      </c>
      <c r="I115" s="5">
        <v>2.5999999999999999E-3</v>
      </c>
      <c r="J115" s="5">
        <v>0</v>
      </c>
      <c r="K115" s="5">
        <v>0</v>
      </c>
      <c r="L115" s="5">
        <v>4.4999999999999997E-3</v>
      </c>
      <c r="M115" s="5">
        <v>0</v>
      </c>
      <c r="N115" s="5">
        <v>0</v>
      </c>
      <c r="O115" s="5">
        <v>2.5000000000000001E-3</v>
      </c>
      <c r="P115" s="5">
        <v>0</v>
      </c>
      <c r="Q115" s="5">
        <v>0</v>
      </c>
      <c r="R115" s="5">
        <v>0.11600000000000001</v>
      </c>
      <c r="S115" s="5">
        <v>0</v>
      </c>
      <c r="T115" s="5">
        <v>0</v>
      </c>
      <c r="U115" s="5">
        <v>9.64E-2</v>
      </c>
      <c r="V115" s="5">
        <v>0</v>
      </c>
      <c r="W115" s="5">
        <v>0</v>
      </c>
      <c r="X115" s="5">
        <v>9.64E-2</v>
      </c>
      <c r="Y115" s="5">
        <v>0</v>
      </c>
      <c r="Z115" s="5">
        <v>0</v>
      </c>
      <c r="AA115" s="5">
        <v>0.01</v>
      </c>
      <c r="AB115" s="5">
        <v>0</v>
      </c>
      <c r="AC115" s="5">
        <v>0</v>
      </c>
      <c r="AD115" s="5">
        <v>0</v>
      </c>
      <c r="AE115" s="5">
        <v>0.24299999999999999</v>
      </c>
      <c r="AF115" s="5">
        <v>0</v>
      </c>
      <c r="AG115" s="5">
        <v>0.03</v>
      </c>
      <c r="AH115" s="5">
        <v>0</v>
      </c>
      <c r="AI115" s="5">
        <v>0.02</v>
      </c>
      <c r="AJ115" s="5">
        <v>0</v>
      </c>
      <c r="AK115" s="5">
        <v>0</v>
      </c>
      <c r="AL115" s="5">
        <v>0</v>
      </c>
      <c r="AM115" s="5">
        <v>0</v>
      </c>
      <c r="AN115" s="5">
        <v>0</v>
      </c>
      <c r="AO115" s="5">
        <v>0.22</v>
      </c>
      <c r="AP115" s="45">
        <f t="shared" si="1"/>
        <v>0.99950000000000006</v>
      </c>
    </row>
    <row r="116" spans="1:42" x14ac:dyDescent="0.25">
      <c r="A116" s="4" t="s">
        <v>548</v>
      </c>
      <c r="B116" s="4" t="s">
        <v>582</v>
      </c>
      <c r="C116" s="4" t="s">
        <v>557</v>
      </c>
      <c r="D116" s="5">
        <v>0.15409999999999999</v>
      </c>
      <c r="E116" s="5">
        <v>2E-3</v>
      </c>
      <c r="F116" s="5">
        <v>2E-3</v>
      </c>
      <c r="G116" s="5">
        <v>0</v>
      </c>
      <c r="H116" s="5">
        <v>0</v>
      </c>
      <c r="I116" s="5">
        <v>2.5999999999999999E-3</v>
      </c>
      <c r="J116" s="5">
        <v>0</v>
      </c>
      <c r="K116" s="5">
        <v>0</v>
      </c>
      <c r="L116" s="5">
        <v>4.4999999999999997E-3</v>
      </c>
      <c r="M116" s="5">
        <v>0</v>
      </c>
      <c r="N116" s="5">
        <v>0</v>
      </c>
      <c r="O116" s="5">
        <v>2.5000000000000001E-3</v>
      </c>
      <c r="P116" s="5">
        <v>0</v>
      </c>
      <c r="Q116" s="5">
        <v>0</v>
      </c>
      <c r="R116" s="5">
        <v>0.11600000000000001</v>
      </c>
      <c r="S116" s="5">
        <v>0</v>
      </c>
      <c r="T116" s="5">
        <v>0</v>
      </c>
      <c r="U116" s="5">
        <v>9.64E-2</v>
      </c>
      <c r="V116" s="5">
        <v>0</v>
      </c>
      <c r="W116" s="5">
        <v>0</v>
      </c>
      <c r="X116" s="5">
        <v>9.64E-2</v>
      </c>
      <c r="Y116" s="5">
        <v>0</v>
      </c>
      <c r="Z116" s="5">
        <v>0</v>
      </c>
      <c r="AA116" s="5">
        <v>0.01</v>
      </c>
      <c r="AB116" s="5">
        <v>0</v>
      </c>
      <c r="AC116" s="5">
        <v>0</v>
      </c>
      <c r="AD116" s="5">
        <v>0</v>
      </c>
      <c r="AE116" s="5">
        <v>0.24299999999999999</v>
      </c>
      <c r="AF116" s="5">
        <v>0</v>
      </c>
      <c r="AG116" s="5">
        <v>0.03</v>
      </c>
      <c r="AH116" s="5">
        <v>0</v>
      </c>
      <c r="AI116" s="5">
        <v>0.02</v>
      </c>
      <c r="AJ116" s="5">
        <v>0.22</v>
      </c>
      <c r="AK116" s="5">
        <v>0</v>
      </c>
      <c r="AL116" s="5">
        <v>0</v>
      </c>
      <c r="AM116" s="5">
        <v>0</v>
      </c>
      <c r="AN116" s="5">
        <v>0</v>
      </c>
      <c r="AO116" s="5">
        <v>0</v>
      </c>
      <c r="AP116" s="45">
        <f t="shared" si="1"/>
        <v>0.99950000000000006</v>
      </c>
    </row>
    <row r="117" spans="1:42" x14ac:dyDescent="0.25">
      <c r="A117" s="4" t="s">
        <v>549</v>
      </c>
      <c r="B117" s="4" t="s">
        <v>582</v>
      </c>
      <c r="C117" s="4" t="s">
        <v>557</v>
      </c>
      <c r="D117" s="5">
        <v>0.15409999999999999</v>
      </c>
      <c r="E117" s="5">
        <v>2E-3</v>
      </c>
      <c r="F117" s="5">
        <v>2E-3</v>
      </c>
      <c r="G117" s="5">
        <v>0</v>
      </c>
      <c r="H117" s="5">
        <v>0</v>
      </c>
      <c r="I117" s="5">
        <v>2.5999999999999999E-3</v>
      </c>
      <c r="J117" s="5">
        <v>0</v>
      </c>
      <c r="K117" s="5">
        <v>0</v>
      </c>
      <c r="L117" s="5">
        <v>4.4999999999999997E-3</v>
      </c>
      <c r="M117" s="5">
        <v>0</v>
      </c>
      <c r="N117" s="5">
        <v>0</v>
      </c>
      <c r="O117" s="5">
        <v>2.5000000000000001E-3</v>
      </c>
      <c r="P117" s="5">
        <v>0</v>
      </c>
      <c r="Q117" s="5">
        <v>0</v>
      </c>
      <c r="R117" s="5">
        <v>0.11600000000000001</v>
      </c>
      <c r="S117" s="5">
        <v>0</v>
      </c>
      <c r="T117" s="5">
        <v>0</v>
      </c>
      <c r="U117" s="5">
        <v>9.64E-2</v>
      </c>
      <c r="V117" s="5">
        <v>0</v>
      </c>
      <c r="W117" s="5">
        <v>0</v>
      </c>
      <c r="X117" s="5">
        <v>9.64E-2</v>
      </c>
      <c r="Y117" s="5">
        <v>0</v>
      </c>
      <c r="Z117" s="5">
        <v>0</v>
      </c>
      <c r="AA117" s="5">
        <v>0.01</v>
      </c>
      <c r="AB117" s="5">
        <v>0</v>
      </c>
      <c r="AC117" s="5">
        <v>0</v>
      </c>
      <c r="AD117" s="5">
        <v>0</v>
      </c>
      <c r="AE117" s="5">
        <v>0.24299999999999999</v>
      </c>
      <c r="AF117" s="5">
        <v>0</v>
      </c>
      <c r="AG117" s="5">
        <v>0.03</v>
      </c>
      <c r="AH117" s="5">
        <v>0</v>
      </c>
      <c r="AI117" s="5">
        <v>0.02</v>
      </c>
      <c r="AJ117" s="5">
        <v>0</v>
      </c>
      <c r="AK117" s="5">
        <v>0.22</v>
      </c>
      <c r="AL117" s="5">
        <v>0</v>
      </c>
      <c r="AM117" s="5">
        <v>0</v>
      </c>
      <c r="AN117" s="5">
        <v>0</v>
      </c>
      <c r="AO117" s="5">
        <v>0</v>
      </c>
      <c r="AP117" s="45">
        <f t="shared" si="1"/>
        <v>0.99950000000000006</v>
      </c>
    </row>
    <row r="118" spans="1:42" x14ac:dyDescent="0.25">
      <c r="A118" s="4" t="s">
        <v>550</v>
      </c>
      <c r="B118" s="4" t="s">
        <v>582</v>
      </c>
      <c r="C118" s="4" t="s">
        <v>557</v>
      </c>
      <c r="D118" s="5">
        <v>0.1396</v>
      </c>
      <c r="E118" s="5">
        <v>2E-3</v>
      </c>
      <c r="F118" s="5">
        <v>2E-3</v>
      </c>
      <c r="G118" s="5">
        <v>0</v>
      </c>
      <c r="H118" s="5">
        <v>0</v>
      </c>
      <c r="I118" s="5">
        <v>2.5999999999999999E-3</v>
      </c>
      <c r="J118" s="5">
        <v>0</v>
      </c>
      <c r="K118" s="5">
        <v>0</v>
      </c>
      <c r="L118" s="5">
        <v>4.4999999999999997E-3</v>
      </c>
      <c r="M118" s="5">
        <v>0</v>
      </c>
      <c r="N118" s="5">
        <v>0</v>
      </c>
      <c r="O118" s="5">
        <v>2.5000000000000001E-3</v>
      </c>
      <c r="P118" s="5">
        <v>0</v>
      </c>
      <c r="Q118" s="5">
        <v>0</v>
      </c>
      <c r="R118" s="5">
        <v>0.11600000000000001</v>
      </c>
      <c r="S118" s="5">
        <v>0</v>
      </c>
      <c r="T118" s="5">
        <v>0</v>
      </c>
      <c r="U118" s="5">
        <v>9.64E-2</v>
      </c>
      <c r="V118" s="5">
        <v>0</v>
      </c>
      <c r="W118" s="5">
        <v>0</v>
      </c>
      <c r="X118" s="5">
        <v>9.64E-2</v>
      </c>
      <c r="Y118" s="5">
        <v>0</v>
      </c>
      <c r="Z118" s="5">
        <v>0</v>
      </c>
      <c r="AA118" s="5">
        <v>5.0000000000000001E-3</v>
      </c>
      <c r="AB118" s="5">
        <v>0</v>
      </c>
      <c r="AC118" s="5">
        <v>0.24299999999999999</v>
      </c>
      <c r="AD118" s="5">
        <v>0</v>
      </c>
      <c r="AE118" s="5">
        <v>0</v>
      </c>
      <c r="AF118" s="5">
        <v>0</v>
      </c>
      <c r="AG118" s="5">
        <v>0.03</v>
      </c>
      <c r="AH118" s="5">
        <v>0</v>
      </c>
      <c r="AI118" s="5">
        <v>0.02</v>
      </c>
      <c r="AJ118" s="5">
        <v>0</v>
      </c>
      <c r="AK118" s="5">
        <v>0</v>
      </c>
      <c r="AL118" s="5">
        <v>0</v>
      </c>
      <c r="AM118" s="5">
        <v>0</v>
      </c>
      <c r="AN118" s="5">
        <v>0.23949999999999999</v>
      </c>
      <c r="AO118" s="5">
        <v>0</v>
      </c>
      <c r="AP118" s="45">
        <f t="shared" si="1"/>
        <v>0.99950000000000006</v>
      </c>
    </row>
    <row r="119" spans="1:42" x14ac:dyDescent="0.25">
      <c r="A119" s="4" t="s">
        <v>552</v>
      </c>
      <c r="B119" s="4" t="s">
        <v>582</v>
      </c>
      <c r="C119" s="4" t="s">
        <v>557</v>
      </c>
      <c r="D119" s="5">
        <v>0.1396</v>
      </c>
      <c r="E119" s="5">
        <v>2E-3</v>
      </c>
      <c r="F119" s="5">
        <v>2E-3</v>
      </c>
      <c r="G119" s="5">
        <v>0</v>
      </c>
      <c r="H119" s="5">
        <v>0</v>
      </c>
      <c r="I119" s="5">
        <v>2.5999999999999999E-3</v>
      </c>
      <c r="J119" s="5">
        <v>0</v>
      </c>
      <c r="K119" s="5">
        <v>0</v>
      </c>
      <c r="L119" s="5">
        <v>4.4999999999999997E-3</v>
      </c>
      <c r="M119" s="5">
        <v>0</v>
      </c>
      <c r="N119" s="5">
        <v>0</v>
      </c>
      <c r="O119" s="5">
        <v>2.5000000000000001E-3</v>
      </c>
      <c r="P119" s="5">
        <v>0</v>
      </c>
      <c r="Q119" s="5">
        <v>0</v>
      </c>
      <c r="R119" s="5">
        <v>0.11600000000000001</v>
      </c>
      <c r="S119" s="5">
        <v>0</v>
      </c>
      <c r="T119" s="5">
        <v>0</v>
      </c>
      <c r="U119" s="5">
        <v>9.64E-2</v>
      </c>
      <c r="V119" s="5">
        <v>0</v>
      </c>
      <c r="W119" s="5">
        <v>0</v>
      </c>
      <c r="X119" s="5">
        <v>9.64E-2</v>
      </c>
      <c r="Y119" s="5">
        <v>0</v>
      </c>
      <c r="Z119" s="5">
        <v>0</v>
      </c>
      <c r="AA119" s="5">
        <v>5.0000000000000001E-3</v>
      </c>
      <c r="AB119" s="5">
        <v>0</v>
      </c>
      <c r="AC119" s="5">
        <v>0</v>
      </c>
      <c r="AD119" s="5">
        <v>0</v>
      </c>
      <c r="AE119" s="5">
        <v>0.24299999999999999</v>
      </c>
      <c r="AF119" s="5">
        <v>0</v>
      </c>
      <c r="AG119" s="5">
        <v>0.03</v>
      </c>
      <c r="AH119" s="5">
        <v>0</v>
      </c>
      <c r="AI119" s="5">
        <v>0.02</v>
      </c>
      <c r="AJ119" s="5">
        <v>0</v>
      </c>
      <c r="AK119" s="5">
        <v>0</v>
      </c>
      <c r="AL119" s="5">
        <v>0</v>
      </c>
      <c r="AM119" s="5">
        <v>0</v>
      </c>
      <c r="AN119" s="5">
        <v>0.23949999999999999</v>
      </c>
      <c r="AO119" s="5">
        <v>0</v>
      </c>
      <c r="AP119" s="45">
        <f t="shared" si="1"/>
        <v>0.99950000000000006</v>
      </c>
    </row>
    <row r="120" spans="1:42" x14ac:dyDescent="0.25">
      <c r="A120" s="4" t="s">
        <v>551</v>
      </c>
      <c r="B120" s="4" t="s">
        <v>582</v>
      </c>
      <c r="C120" s="4" t="s">
        <v>557</v>
      </c>
      <c r="D120" s="5">
        <v>0.1396</v>
      </c>
      <c r="E120" s="5">
        <v>2E-3</v>
      </c>
      <c r="F120" s="5">
        <v>2E-3</v>
      </c>
      <c r="G120" s="5">
        <v>0</v>
      </c>
      <c r="H120" s="5">
        <v>0</v>
      </c>
      <c r="I120" s="5">
        <v>2.5999999999999999E-3</v>
      </c>
      <c r="J120" s="5">
        <v>0</v>
      </c>
      <c r="K120" s="5">
        <v>0</v>
      </c>
      <c r="L120" s="5">
        <v>4.4999999999999997E-3</v>
      </c>
      <c r="M120" s="5">
        <v>0</v>
      </c>
      <c r="N120" s="5">
        <v>0</v>
      </c>
      <c r="O120" s="5">
        <v>2.5000000000000001E-3</v>
      </c>
      <c r="P120" s="5">
        <v>0</v>
      </c>
      <c r="Q120" s="5">
        <v>0</v>
      </c>
      <c r="R120" s="5">
        <v>0</v>
      </c>
      <c r="S120" s="5">
        <v>0</v>
      </c>
      <c r="T120" s="5">
        <v>0.11600000000000001</v>
      </c>
      <c r="U120" s="5">
        <v>9.64E-2</v>
      </c>
      <c r="V120" s="5">
        <v>0</v>
      </c>
      <c r="W120" s="5">
        <v>0</v>
      </c>
      <c r="X120" s="5">
        <v>9.64E-2</v>
      </c>
      <c r="Y120" s="5">
        <v>0</v>
      </c>
      <c r="Z120" s="5">
        <v>0</v>
      </c>
      <c r="AA120" s="5">
        <v>5.0000000000000001E-3</v>
      </c>
      <c r="AB120" s="5">
        <v>0</v>
      </c>
      <c r="AC120" s="5">
        <v>0</v>
      </c>
      <c r="AD120" s="5">
        <v>0</v>
      </c>
      <c r="AE120" s="5">
        <v>0.24299999999999999</v>
      </c>
      <c r="AF120" s="5">
        <v>0</v>
      </c>
      <c r="AG120" s="5">
        <v>0.03</v>
      </c>
      <c r="AH120" s="5">
        <v>0</v>
      </c>
      <c r="AI120" s="5">
        <v>0.02</v>
      </c>
      <c r="AJ120" s="5">
        <v>0</v>
      </c>
      <c r="AK120" s="5">
        <v>0</v>
      </c>
      <c r="AL120" s="5">
        <v>0</v>
      </c>
      <c r="AM120" s="5">
        <v>0</v>
      </c>
      <c r="AN120" s="5">
        <v>0.23949999999999999</v>
      </c>
      <c r="AO120" s="5">
        <v>0</v>
      </c>
      <c r="AP120" s="45">
        <f t="shared" si="1"/>
        <v>0.99950000000000006</v>
      </c>
    </row>
    <row r="121" spans="1:42" x14ac:dyDescent="0.25">
      <c r="A121" s="4" t="s">
        <v>553</v>
      </c>
      <c r="B121" s="4" t="s">
        <v>583</v>
      </c>
      <c r="C121" s="4" t="s">
        <v>557</v>
      </c>
      <c r="D121" s="5">
        <v>0.1396</v>
      </c>
      <c r="E121" s="5">
        <v>2E-3</v>
      </c>
      <c r="F121" s="5">
        <v>2E-3</v>
      </c>
      <c r="G121" s="5">
        <v>0</v>
      </c>
      <c r="H121" s="5">
        <v>0</v>
      </c>
      <c r="I121" s="5">
        <v>2.5999999999999999E-3</v>
      </c>
      <c r="J121" s="5">
        <v>0</v>
      </c>
      <c r="K121" s="5">
        <v>0</v>
      </c>
      <c r="L121" s="5">
        <v>4.4999999999999997E-3</v>
      </c>
      <c r="M121" s="5">
        <v>0</v>
      </c>
      <c r="N121" s="5">
        <v>0</v>
      </c>
      <c r="O121" s="5">
        <v>2.5000000000000001E-3</v>
      </c>
      <c r="P121" s="5">
        <v>0</v>
      </c>
      <c r="Q121" s="5">
        <v>0</v>
      </c>
      <c r="R121" s="5">
        <v>0.11600000000000001</v>
      </c>
      <c r="S121" s="5">
        <v>0</v>
      </c>
      <c r="T121" s="5">
        <v>0</v>
      </c>
      <c r="U121" s="5">
        <v>9.64E-2</v>
      </c>
      <c r="V121" s="5">
        <v>0</v>
      </c>
      <c r="W121" s="5">
        <v>0</v>
      </c>
      <c r="X121" s="5">
        <v>9.64E-2</v>
      </c>
      <c r="Y121" s="5">
        <v>0</v>
      </c>
      <c r="Z121" s="5">
        <v>0</v>
      </c>
      <c r="AA121" s="5">
        <v>5.0000000000000001E-3</v>
      </c>
      <c r="AB121" s="5">
        <v>0</v>
      </c>
      <c r="AC121" s="5">
        <v>0</v>
      </c>
      <c r="AD121" s="5">
        <v>0</v>
      </c>
      <c r="AE121" s="5">
        <v>0.24299999999999999</v>
      </c>
      <c r="AF121" s="5">
        <v>0</v>
      </c>
      <c r="AG121" s="5">
        <v>0.03</v>
      </c>
      <c r="AH121" s="5">
        <v>0</v>
      </c>
      <c r="AI121" s="5">
        <v>0.02</v>
      </c>
      <c r="AJ121" s="5">
        <v>0</v>
      </c>
      <c r="AK121" s="5">
        <v>0</v>
      </c>
      <c r="AL121" s="5">
        <v>0</v>
      </c>
      <c r="AM121" s="5">
        <v>0</v>
      </c>
      <c r="AN121" s="5">
        <v>0.23949999999999999</v>
      </c>
      <c r="AO121" s="5">
        <v>0</v>
      </c>
      <c r="AP121" s="45">
        <f t="shared" si="1"/>
        <v>0.99950000000000006</v>
      </c>
    </row>
    <row r="122" spans="1:42" x14ac:dyDescent="0.25">
      <c r="A122" s="4" t="s">
        <v>554</v>
      </c>
      <c r="B122" s="4" t="s">
        <v>582</v>
      </c>
      <c r="C122" s="4" t="s">
        <v>557</v>
      </c>
      <c r="D122" s="5">
        <v>0.1399</v>
      </c>
      <c r="E122" s="5">
        <v>2E-3</v>
      </c>
      <c r="F122" s="5">
        <v>2E-3</v>
      </c>
      <c r="G122" s="5">
        <v>0</v>
      </c>
      <c r="H122" s="5">
        <v>0</v>
      </c>
      <c r="I122" s="5">
        <v>1.4E-3</v>
      </c>
      <c r="J122" s="5">
        <v>0</v>
      </c>
      <c r="K122" s="5">
        <v>0</v>
      </c>
      <c r="L122" s="5">
        <v>4.0000000000000001E-3</v>
      </c>
      <c r="M122" s="5">
        <v>1.4E-3</v>
      </c>
      <c r="N122" s="5">
        <v>0</v>
      </c>
      <c r="O122" s="5">
        <v>2.5000000000000001E-3</v>
      </c>
      <c r="P122" s="5">
        <v>0</v>
      </c>
      <c r="Q122" s="5">
        <v>0</v>
      </c>
      <c r="R122" s="5">
        <v>0.11600000000000001</v>
      </c>
      <c r="S122" s="5">
        <v>0</v>
      </c>
      <c r="T122" s="5">
        <v>0</v>
      </c>
      <c r="U122" s="5">
        <v>9.64E-2</v>
      </c>
      <c r="V122" s="5">
        <v>0</v>
      </c>
      <c r="W122" s="5">
        <v>0</v>
      </c>
      <c r="X122" s="5">
        <v>9.64E-2</v>
      </c>
      <c r="Y122" s="5">
        <v>0</v>
      </c>
      <c r="Z122" s="5">
        <v>0</v>
      </c>
      <c r="AA122" s="5">
        <v>5.0000000000000001E-3</v>
      </c>
      <c r="AB122" s="5">
        <v>0</v>
      </c>
      <c r="AC122" s="5">
        <v>0</v>
      </c>
      <c r="AD122" s="5">
        <v>0</v>
      </c>
      <c r="AE122" s="5">
        <v>0.24299999999999999</v>
      </c>
      <c r="AF122" s="5">
        <v>0</v>
      </c>
      <c r="AG122" s="5">
        <v>0.03</v>
      </c>
      <c r="AH122" s="5">
        <v>0</v>
      </c>
      <c r="AI122" s="5">
        <v>0.02</v>
      </c>
      <c r="AJ122" s="5">
        <v>0</v>
      </c>
      <c r="AK122" s="5">
        <v>0</v>
      </c>
      <c r="AL122" s="5">
        <v>0</v>
      </c>
      <c r="AM122" s="5">
        <v>0</v>
      </c>
      <c r="AN122" s="5">
        <v>0.23949999999999999</v>
      </c>
      <c r="AO122" s="5">
        <v>0</v>
      </c>
      <c r="AP122" s="45">
        <f t="shared" si="1"/>
        <v>0.99950000000000006</v>
      </c>
    </row>
    <row r="123" spans="1:42" x14ac:dyDescent="0.25">
      <c r="A123" s="4" t="s">
        <v>555</v>
      </c>
      <c r="B123" s="4" t="s">
        <v>581</v>
      </c>
      <c r="C123" s="4" t="s">
        <v>557</v>
      </c>
      <c r="D123" s="5">
        <v>0.1396</v>
      </c>
      <c r="E123" s="5">
        <v>2E-3</v>
      </c>
      <c r="F123" s="5">
        <v>2E-3</v>
      </c>
      <c r="G123" s="5">
        <v>0</v>
      </c>
      <c r="H123" s="5">
        <v>0</v>
      </c>
      <c r="I123" s="5">
        <v>2.5999999999999999E-3</v>
      </c>
      <c r="J123" s="5">
        <v>0</v>
      </c>
      <c r="K123" s="5">
        <v>0</v>
      </c>
      <c r="L123" s="5">
        <v>4.4999999999999997E-3</v>
      </c>
      <c r="M123" s="5">
        <v>0</v>
      </c>
      <c r="N123" s="5">
        <v>0</v>
      </c>
      <c r="O123" s="5">
        <v>2.5000000000000001E-3</v>
      </c>
      <c r="P123" s="5">
        <v>0</v>
      </c>
      <c r="Q123" s="5">
        <v>0</v>
      </c>
      <c r="R123" s="5">
        <v>0.11600000000000001</v>
      </c>
      <c r="S123" s="5">
        <v>0</v>
      </c>
      <c r="T123" s="5">
        <v>0</v>
      </c>
      <c r="U123" s="5">
        <v>9.64E-2</v>
      </c>
      <c r="V123" s="5">
        <v>0</v>
      </c>
      <c r="W123" s="5">
        <v>0</v>
      </c>
      <c r="X123" s="5">
        <v>9.64E-2</v>
      </c>
      <c r="Y123" s="5">
        <v>0</v>
      </c>
      <c r="Z123" s="5">
        <v>0</v>
      </c>
      <c r="AA123" s="5">
        <v>5.0000000000000001E-3</v>
      </c>
      <c r="AB123" s="5">
        <v>0</v>
      </c>
      <c r="AC123" s="5">
        <v>0</v>
      </c>
      <c r="AD123" s="5">
        <v>0</v>
      </c>
      <c r="AE123" s="5">
        <v>0.24299999999999999</v>
      </c>
      <c r="AF123" s="5">
        <v>0</v>
      </c>
      <c r="AG123" s="5">
        <v>0.03</v>
      </c>
      <c r="AH123" s="5">
        <v>0</v>
      </c>
      <c r="AI123" s="5">
        <v>0.02</v>
      </c>
      <c r="AJ123" s="5">
        <v>0</v>
      </c>
      <c r="AK123" s="5">
        <v>0</v>
      </c>
      <c r="AL123" s="5">
        <v>0</v>
      </c>
      <c r="AM123" s="5">
        <v>0</v>
      </c>
      <c r="AN123" s="5">
        <v>0.23949999999999999</v>
      </c>
      <c r="AO123" s="5">
        <v>0</v>
      </c>
      <c r="AP123" s="45">
        <f t="shared" si="1"/>
        <v>0.99950000000000006</v>
      </c>
    </row>
    <row r="124" spans="1:42" x14ac:dyDescent="0.25">
      <c r="A124" s="4" t="s">
        <v>556</v>
      </c>
      <c r="B124" s="4" t="s">
        <v>580</v>
      </c>
      <c r="C124" s="4" t="s">
        <v>558</v>
      </c>
      <c r="D124" s="5">
        <v>0.1396</v>
      </c>
      <c r="E124" s="5">
        <v>2E-3</v>
      </c>
      <c r="F124" s="5">
        <v>2E-3</v>
      </c>
      <c r="G124" s="5">
        <v>0</v>
      </c>
      <c r="H124" s="5">
        <v>0</v>
      </c>
      <c r="I124" s="5">
        <v>2.5999999999999999E-3</v>
      </c>
      <c r="J124" s="5">
        <v>0</v>
      </c>
      <c r="K124" s="5">
        <v>0</v>
      </c>
      <c r="L124" s="5">
        <v>4.4999999999999997E-3</v>
      </c>
      <c r="M124" s="5">
        <v>0</v>
      </c>
      <c r="N124" s="5">
        <v>0</v>
      </c>
      <c r="O124" s="5">
        <v>2.5000000000000001E-3</v>
      </c>
      <c r="P124" s="5">
        <v>0</v>
      </c>
      <c r="Q124" s="5">
        <v>0</v>
      </c>
      <c r="R124" s="5">
        <v>0.11600000000000001</v>
      </c>
      <c r="S124" s="5">
        <v>0</v>
      </c>
      <c r="T124" s="5">
        <v>0</v>
      </c>
      <c r="U124" s="5">
        <v>9.64E-2</v>
      </c>
      <c r="V124" s="5">
        <v>0</v>
      </c>
      <c r="W124" s="5">
        <v>0</v>
      </c>
      <c r="X124" s="5">
        <v>9.64E-2</v>
      </c>
      <c r="Y124" s="5">
        <v>0</v>
      </c>
      <c r="Z124" s="5">
        <v>0</v>
      </c>
      <c r="AA124" s="5">
        <v>5.0000000000000001E-3</v>
      </c>
      <c r="AB124" s="5">
        <v>0</v>
      </c>
      <c r="AC124" s="5">
        <v>0</v>
      </c>
      <c r="AD124" s="5">
        <v>0</v>
      </c>
      <c r="AE124" s="5">
        <v>0.24299999999999999</v>
      </c>
      <c r="AF124" s="5">
        <v>0</v>
      </c>
      <c r="AG124" s="5">
        <v>0.03</v>
      </c>
      <c r="AH124" s="5">
        <v>0</v>
      </c>
      <c r="AI124" s="5">
        <v>0.02</v>
      </c>
      <c r="AJ124" s="5">
        <v>0</v>
      </c>
      <c r="AK124" s="5">
        <v>0</v>
      </c>
      <c r="AL124" s="5">
        <v>0</v>
      </c>
      <c r="AM124" s="5">
        <v>0</v>
      </c>
      <c r="AN124" s="5">
        <v>0.24</v>
      </c>
      <c r="AO124" s="5">
        <v>0</v>
      </c>
      <c r="AP124" s="45">
        <f t="shared" si="1"/>
        <v>1</v>
      </c>
    </row>
    <row r="125" spans="1:42" x14ac:dyDescent="0.25">
      <c r="A125" s="4" t="s">
        <v>576</v>
      </c>
      <c r="B125" s="4" t="s">
        <v>579</v>
      </c>
      <c r="C125" s="4" t="s">
        <v>557</v>
      </c>
      <c r="D125" s="5">
        <v>0.12970000000000001</v>
      </c>
      <c r="E125" s="5">
        <v>2E-3</v>
      </c>
      <c r="F125" s="5">
        <v>2E-3</v>
      </c>
      <c r="G125" s="5">
        <v>0</v>
      </c>
      <c r="H125" s="5">
        <v>0</v>
      </c>
      <c r="I125" s="5">
        <v>2.5000000000000001E-3</v>
      </c>
      <c r="J125" s="5">
        <v>0</v>
      </c>
      <c r="K125" s="5">
        <v>0</v>
      </c>
      <c r="L125" s="5">
        <v>1.5E-3</v>
      </c>
      <c r="M125" s="5">
        <v>0</v>
      </c>
      <c r="N125" s="5">
        <v>0</v>
      </c>
      <c r="O125" s="5">
        <v>2.5000000000000001E-3</v>
      </c>
      <c r="P125" s="5">
        <v>0</v>
      </c>
      <c r="Q125" s="5">
        <v>0</v>
      </c>
      <c r="R125" s="5">
        <v>4.99E-2</v>
      </c>
      <c r="S125" s="5">
        <v>0</v>
      </c>
      <c r="T125" s="5">
        <v>0</v>
      </c>
      <c r="U125" s="5">
        <v>0.1197</v>
      </c>
      <c r="V125" s="5">
        <v>0</v>
      </c>
      <c r="W125" s="5">
        <v>0</v>
      </c>
      <c r="X125" s="5">
        <v>9.2799999999999994E-2</v>
      </c>
      <c r="Y125" s="5">
        <v>0.04</v>
      </c>
      <c r="Z125" s="5">
        <v>0</v>
      </c>
      <c r="AA125" s="5">
        <v>3.0000000000000001E-3</v>
      </c>
      <c r="AB125" s="5">
        <v>0</v>
      </c>
      <c r="AC125" s="5">
        <v>0</v>
      </c>
      <c r="AD125" s="5">
        <v>0</v>
      </c>
      <c r="AE125" s="5">
        <v>0.26939999999999997</v>
      </c>
      <c r="AF125" s="5">
        <v>0</v>
      </c>
      <c r="AG125" s="5">
        <v>4.99E-2</v>
      </c>
      <c r="AH125" s="5">
        <v>0</v>
      </c>
      <c r="AI125" s="5">
        <v>0.03</v>
      </c>
      <c r="AJ125" s="5">
        <v>0</v>
      </c>
      <c r="AK125" s="5">
        <v>0</v>
      </c>
      <c r="AL125" s="5">
        <v>0</v>
      </c>
      <c r="AM125" s="5">
        <v>0</v>
      </c>
      <c r="AN125" s="5">
        <v>0.20319999999999999</v>
      </c>
      <c r="AO125" s="5">
        <v>0</v>
      </c>
      <c r="AP125" s="45">
        <f t="shared" si="1"/>
        <v>0.99809999999999999</v>
      </c>
    </row>
    <row r="126" spans="1:42" x14ac:dyDescent="0.25">
      <c r="A126" s="4" t="s">
        <v>586</v>
      </c>
      <c r="B126" s="4" t="s">
        <v>579</v>
      </c>
      <c r="C126" s="4" t="s">
        <v>557</v>
      </c>
      <c r="D126" s="5">
        <v>0.12939999999999999</v>
      </c>
      <c r="E126" s="5">
        <v>3.0000000000000001E-3</v>
      </c>
      <c r="F126" s="5">
        <v>2E-3</v>
      </c>
      <c r="G126" s="5">
        <v>0</v>
      </c>
      <c r="H126" s="5">
        <v>0</v>
      </c>
      <c r="I126" s="5">
        <v>2.5000000000000001E-3</v>
      </c>
      <c r="J126" s="5">
        <v>0</v>
      </c>
      <c r="K126" s="5">
        <v>0</v>
      </c>
      <c r="L126" s="5">
        <v>1E-3</v>
      </c>
      <c r="M126" s="5">
        <v>0</v>
      </c>
      <c r="N126" s="5">
        <v>0</v>
      </c>
      <c r="O126" s="5">
        <v>4.8999999999999998E-3</v>
      </c>
      <c r="P126" s="5">
        <v>0</v>
      </c>
      <c r="Q126" s="5">
        <v>0</v>
      </c>
      <c r="R126" s="5">
        <v>4.9700000000000001E-2</v>
      </c>
      <c r="S126" s="5">
        <v>0</v>
      </c>
      <c r="T126" s="5">
        <v>0</v>
      </c>
      <c r="U126" s="5">
        <v>0.1192</v>
      </c>
      <c r="V126" s="5">
        <v>0</v>
      </c>
      <c r="W126" s="5">
        <v>0</v>
      </c>
      <c r="X126" s="5">
        <v>9.4299999999999995E-2</v>
      </c>
      <c r="Y126" s="5">
        <v>0</v>
      </c>
      <c r="Z126" s="5">
        <v>3.7699999999999997E-2</v>
      </c>
      <c r="AA126" s="5">
        <v>3.0000000000000001E-3</v>
      </c>
      <c r="AB126" s="5">
        <v>0</v>
      </c>
      <c r="AC126" s="5">
        <v>0</v>
      </c>
      <c r="AD126" s="5">
        <v>0</v>
      </c>
      <c r="AE126" s="5">
        <v>0.26819999999999999</v>
      </c>
      <c r="AF126" s="5">
        <v>0</v>
      </c>
      <c r="AG126" s="5">
        <v>4.9700000000000001E-2</v>
      </c>
      <c r="AH126" s="5">
        <v>0</v>
      </c>
      <c r="AI126" s="5">
        <v>3.3799999999999997E-2</v>
      </c>
      <c r="AJ126" s="5">
        <v>0</v>
      </c>
      <c r="AK126" s="5">
        <v>0</v>
      </c>
      <c r="AL126" s="5">
        <v>0</v>
      </c>
      <c r="AM126" s="5">
        <v>0</v>
      </c>
      <c r="AN126" s="5">
        <v>0.2021</v>
      </c>
      <c r="AO126" s="5">
        <v>0</v>
      </c>
      <c r="AP126" s="45">
        <f t="shared" si="1"/>
        <v>1.0004999999999999</v>
      </c>
    </row>
    <row r="127" spans="1:42" x14ac:dyDescent="0.25">
      <c r="A127" s="4" t="s">
        <v>587</v>
      </c>
      <c r="B127" s="4" t="s">
        <v>579</v>
      </c>
      <c r="C127" s="4" t="s">
        <v>557</v>
      </c>
      <c r="D127" s="5">
        <v>0.1449</v>
      </c>
      <c r="E127" s="5">
        <v>1.6000000000000001E-3</v>
      </c>
      <c r="F127" s="5">
        <v>2E-3</v>
      </c>
      <c r="G127" s="5">
        <v>0</v>
      </c>
      <c r="H127" s="5">
        <v>0</v>
      </c>
      <c r="I127" s="5">
        <v>1.8E-3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3.0000000000000001E-3</v>
      </c>
      <c r="P127" s="5">
        <v>0</v>
      </c>
      <c r="Q127" s="5">
        <v>0</v>
      </c>
      <c r="R127" s="5">
        <v>0.12</v>
      </c>
      <c r="S127" s="5">
        <v>0</v>
      </c>
      <c r="T127" s="5">
        <v>0</v>
      </c>
      <c r="U127" s="5">
        <v>0.09</v>
      </c>
      <c r="V127" s="5">
        <v>0</v>
      </c>
      <c r="W127" s="5">
        <v>0</v>
      </c>
      <c r="X127" s="5">
        <v>0.09</v>
      </c>
      <c r="Y127" s="5">
        <v>0</v>
      </c>
      <c r="Z127" s="5">
        <v>0</v>
      </c>
      <c r="AA127" s="5">
        <v>1.17E-2</v>
      </c>
      <c r="AB127" s="5">
        <v>0</v>
      </c>
      <c r="AC127" s="5">
        <v>0.25</v>
      </c>
      <c r="AD127" s="5">
        <v>0</v>
      </c>
      <c r="AE127" s="5">
        <v>0</v>
      </c>
      <c r="AF127" s="5">
        <v>0</v>
      </c>
      <c r="AG127" s="5">
        <v>0.03</v>
      </c>
      <c r="AH127" s="5">
        <v>0</v>
      </c>
      <c r="AI127" s="5">
        <v>0.03</v>
      </c>
      <c r="AJ127" s="5">
        <v>0</v>
      </c>
      <c r="AK127" s="5">
        <v>0</v>
      </c>
      <c r="AL127" s="5">
        <v>0</v>
      </c>
      <c r="AM127" s="5">
        <v>0</v>
      </c>
      <c r="AN127" s="5">
        <v>0.22500000000000001</v>
      </c>
      <c r="AO127" s="5">
        <v>0</v>
      </c>
      <c r="AP127" s="45">
        <f t="shared" si="1"/>
        <v>0.99999999999999989</v>
      </c>
    </row>
    <row r="128" spans="1:42" x14ac:dyDescent="0.25">
      <c r="A128" s="4" t="s">
        <v>598</v>
      </c>
      <c r="B128" s="4" t="s">
        <v>579</v>
      </c>
      <c r="C128" s="4" t="s">
        <v>557</v>
      </c>
      <c r="D128" s="5">
        <v>0.14449999999999999</v>
      </c>
      <c r="E128" s="5">
        <v>1.6000000000000001E-3</v>
      </c>
      <c r="F128" s="5">
        <v>2E-3</v>
      </c>
      <c r="G128" s="5">
        <v>0</v>
      </c>
      <c r="H128" s="5">
        <v>0</v>
      </c>
      <c r="I128" s="5">
        <v>1.8E-3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3.0000000000000001E-3</v>
      </c>
      <c r="P128" s="5">
        <v>0</v>
      </c>
      <c r="Q128" s="5">
        <v>0</v>
      </c>
      <c r="R128" s="5">
        <v>0.1197</v>
      </c>
      <c r="S128" s="5">
        <v>0</v>
      </c>
      <c r="T128" s="5">
        <v>0</v>
      </c>
      <c r="U128" s="5">
        <v>8.9800000000000005E-2</v>
      </c>
      <c r="V128" s="5">
        <v>0</v>
      </c>
      <c r="W128" s="5">
        <v>0</v>
      </c>
      <c r="X128" s="5">
        <v>8.9800000000000005E-2</v>
      </c>
      <c r="Y128" s="5">
        <v>0</v>
      </c>
      <c r="Z128" s="5">
        <v>0</v>
      </c>
      <c r="AA128" s="5">
        <v>1.17E-2</v>
      </c>
      <c r="AB128" s="5">
        <v>0</v>
      </c>
      <c r="AC128" s="5">
        <v>0</v>
      </c>
      <c r="AD128" s="5">
        <v>0</v>
      </c>
      <c r="AE128" s="5">
        <v>0.24929999999999999</v>
      </c>
      <c r="AF128" s="5">
        <v>0</v>
      </c>
      <c r="AG128" s="5">
        <v>2.9899999999999999E-2</v>
      </c>
      <c r="AH128" s="5">
        <v>0</v>
      </c>
      <c r="AI128" s="5">
        <v>2.9899999999999999E-2</v>
      </c>
      <c r="AJ128" s="5">
        <v>0</v>
      </c>
      <c r="AK128" s="5">
        <v>0</v>
      </c>
      <c r="AL128" s="5">
        <v>0</v>
      </c>
      <c r="AM128" s="5">
        <v>0</v>
      </c>
      <c r="AN128" s="5">
        <v>0.2271</v>
      </c>
      <c r="AO128" s="5">
        <v>0</v>
      </c>
      <c r="AP128" s="45">
        <f t="shared" si="1"/>
        <v>1.0001</v>
      </c>
    </row>
    <row r="129" spans="1:42" x14ac:dyDescent="0.25">
      <c r="A129" s="36"/>
      <c r="B129" s="4" t="s">
        <v>579</v>
      </c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4"/>
    </row>
    <row r="132" spans="1:42" x14ac:dyDescent="0.25">
      <c r="B132" s="77"/>
      <c r="C132" s="77"/>
    </row>
    <row r="133" spans="1:42" x14ac:dyDescent="0.25">
      <c r="B133" s="74"/>
      <c r="C133" s="75"/>
    </row>
    <row r="134" spans="1:42" x14ac:dyDescent="0.25">
      <c r="A134" s="77"/>
      <c r="B134" s="3" t="s">
        <v>10</v>
      </c>
      <c r="C134" s="5">
        <v>0.14451</v>
      </c>
      <c r="D134" s="77"/>
      <c r="E134" s="77"/>
      <c r="F134" s="77"/>
      <c r="G134" s="77"/>
    </row>
    <row r="135" spans="1:42" x14ac:dyDescent="0.25">
      <c r="A135" s="75"/>
      <c r="B135" s="3" t="s">
        <v>232</v>
      </c>
      <c r="C135" s="5">
        <v>1.99E-3</v>
      </c>
      <c r="D135" s="77"/>
      <c r="E135" s="77"/>
      <c r="F135" s="74"/>
      <c r="G135" s="77"/>
      <c r="N135" t="s">
        <v>599</v>
      </c>
    </row>
    <row r="136" spans="1:42" x14ac:dyDescent="0.25">
      <c r="A136" s="75"/>
      <c r="B136" s="3" t="s">
        <v>166</v>
      </c>
      <c r="C136" s="5">
        <v>2.9919999999999999E-2</v>
      </c>
      <c r="D136" s="77"/>
      <c r="E136" s="74"/>
      <c r="F136" s="75"/>
      <c r="G136" s="77"/>
    </row>
    <row r="137" spans="1:42" x14ac:dyDescent="0.25">
      <c r="A137" s="75"/>
      <c r="B137" s="3" t="s">
        <v>13</v>
      </c>
      <c r="C137" s="5">
        <v>1.6000000000000001E-3</v>
      </c>
      <c r="D137" s="77"/>
      <c r="E137" s="74"/>
      <c r="F137" s="75"/>
      <c r="G137" s="77"/>
    </row>
    <row r="138" spans="1:42" x14ac:dyDescent="0.25">
      <c r="A138" s="75"/>
      <c r="B138" s="3" t="s">
        <v>20</v>
      </c>
      <c r="C138" s="5">
        <v>1E-3</v>
      </c>
      <c r="D138" s="77"/>
      <c r="E138" s="74"/>
      <c r="F138" s="75"/>
      <c r="G138" s="77"/>
    </row>
    <row r="139" spans="1:42" x14ac:dyDescent="0.25">
      <c r="A139" s="75"/>
      <c r="B139" s="3" t="s">
        <v>51</v>
      </c>
      <c r="C139" s="5">
        <v>1.8E-3</v>
      </c>
      <c r="D139" s="77"/>
      <c r="E139" s="74"/>
      <c r="F139" s="75"/>
      <c r="G139" s="77"/>
    </row>
    <row r="140" spans="1:42" x14ac:dyDescent="0.25">
      <c r="A140" s="75"/>
      <c r="B140" s="3" t="s">
        <v>20</v>
      </c>
      <c r="C140" s="5">
        <v>1E-3</v>
      </c>
      <c r="D140" s="77"/>
      <c r="E140" s="74"/>
      <c r="F140" s="75"/>
      <c r="G140" s="77"/>
    </row>
    <row r="141" spans="1:42" x14ac:dyDescent="0.25">
      <c r="A141" s="75"/>
      <c r="B141" s="3" t="s">
        <v>24</v>
      </c>
      <c r="C141" s="5">
        <v>0.11967999999999999</v>
      </c>
      <c r="D141" s="77"/>
      <c r="E141" s="74"/>
      <c r="F141" s="75"/>
      <c r="G141" s="77"/>
    </row>
    <row r="142" spans="1:42" x14ac:dyDescent="0.25">
      <c r="A142" s="75"/>
      <c r="B142" s="3" t="s">
        <v>28</v>
      </c>
      <c r="C142" s="5">
        <v>8.9760000000000006E-2</v>
      </c>
      <c r="D142" s="77"/>
      <c r="E142" s="74"/>
      <c r="F142" s="75"/>
      <c r="G142" s="77"/>
    </row>
    <row r="143" spans="1:42" x14ac:dyDescent="0.25">
      <c r="A143" s="75"/>
      <c r="B143" s="3" t="s">
        <v>30</v>
      </c>
      <c r="C143" s="5">
        <v>8.9760000000000006E-2</v>
      </c>
      <c r="D143" s="77"/>
      <c r="E143" s="74"/>
      <c r="F143" s="75"/>
      <c r="G143" s="77"/>
    </row>
    <row r="144" spans="1:42" x14ac:dyDescent="0.25">
      <c r="A144" s="134"/>
      <c r="B144" s="15" t="s">
        <v>70</v>
      </c>
      <c r="C144" s="5">
        <v>1.167E-2</v>
      </c>
      <c r="D144" s="77"/>
      <c r="E144" s="74"/>
      <c r="F144" s="75"/>
      <c r="G144" s="77"/>
    </row>
    <row r="145" spans="1:7" x14ac:dyDescent="0.25">
      <c r="A145" s="75"/>
      <c r="B145" s="15" t="s">
        <v>597</v>
      </c>
      <c r="C145" s="5">
        <v>0.24929999999999999</v>
      </c>
      <c r="D145" s="77"/>
      <c r="E145" s="74"/>
      <c r="F145" s="75"/>
      <c r="G145" s="77"/>
    </row>
    <row r="146" spans="1:7" x14ac:dyDescent="0.25">
      <c r="A146" s="75"/>
      <c r="B146" s="15" t="s">
        <v>130</v>
      </c>
      <c r="C146" s="5">
        <v>2.9919999999999999E-2</v>
      </c>
      <c r="D146" s="77"/>
      <c r="E146" s="74"/>
      <c r="F146" s="75"/>
      <c r="G146" s="77"/>
    </row>
    <row r="147" spans="1:7" x14ac:dyDescent="0.25">
      <c r="A147" s="75"/>
      <c r="B147" s="15" t="s">
        <v>153</v>
      </c>
      <c r="C147" s="5">
        <v>0.22708999999999999</v>
      </c>
      <c r="D147" s="77"/>
      <c r="E147" s="74"/>
      <c r="F147" s="75"/>
      <c r="G147" s="77"/>
    </row>
    <row r="148" spans="1:7" x14ac:dyDescent="0.25">
      <c r="A148" s="75"/>
      <c r="B148" s="3" t="s">
        <v>20</v>
      </c>
      <c r="C148" s="5">
        <v>1E-3</v>
      </c>
      <c r="D148" s="77"/>
      <c r="E148" s="76"/>
      <c r="F148" s="75"/>
      <c r="G148" s="77"/>
    </row>
    <row r="149" spans="1:7" x14ac:dyDescent="0.25">
      <c r="A149" s="135"/>
      <c r="B149" s="2"/>
      <c r="C149" s="23">
        <f>SUM(C134:C148)</f>
        <v>1</v>
      </c>
      <c r="D149" s="77"/>
      <c r="E149" s="76"/>
      <c r="F149" s="75"/>
      <c r="G149" s="77"/>
    </row>
    <row r="150" spans="1:7" x14ac:dyDescent="0.25">
      <c r="A150" s="75"/>
      <c r="B150" s="77"/>
      <c r="D150" s="77"/>
      <c r="E150" s="76"/>
      <c r="F150" s="75"/>
      <c r="G150" s="77"/>
    </row>
    <row r="151" spans="1:7" x14ac:dyDescent="0.25">
      <c r="A151" s="75"/>
      <c r="B151" s="77"/>
      <c r="D151" s="77"/>
      <c r="E151" s="76"/>
      <c r="F151" s="75"/>
      <c r="G151" s="77"/>
    </row>
    <row r="152" spans="1:7" x14ac:dyDescent="0.25">
      <c r="A152" s="77"/>
      <c r="B152" s="77"/>
      <c r="D152" s="77"/>
      <c r="E152" s="76"/>
      <c r="F152" s="75"/>
      <c r="G152" s="77"/>
    </row>
    <row r="153" spans="1:7" x14ac:dyDescent="0.25">
      <c r="A153" s="77"/>
      <c r="B153" s="77"/>
      <c r="D153" s="77"/>
      <c r="E153" s="73"/>
      <c r="F153" s="79"/>
      <c r="G153" s="77"/>
    </row>
    <row r="154" spans="1:7" x14ac:dyDescent="0.25">
      <c r="A154" s="77"/>
      <c r="B154" s="77"/>
      <c r="D154" s="77"/>
      <c r="E154" s="77"/>
      <c r="F154" s="77"/>
      <c r="G154" s="77"/>
    </row>
    <row r="155" spans="1:7" x14ac:dyDescent="0.25">
      <c r="A155" s="77"/>
      <c r="B155" s="77"/>
      <c r="D155" s="77"/>
      <c r="E155" s="77"/>
      <c r="F155" s="77"/>
      <c r="G155" s="77"/>
    </row>
    <row r="156" spans="1:7" x14ac:dyDescent="0.25">
      <c r="D156" s="77"/>
      <c r="E156" s="77"/>
      <c r="F156" s="77"/>
      <c r="G156" s="77"/>
    </row>
    <row r="157" spans="1:7" x14ac:dyDescent="0.25">
      <c r="D157" s="77"/>
      <c r="E157" s="77"/>
      <c r="F157" s="77"/>
      <c r="G157" s="77"/>
    </row>
    <row r="158" spans="1:7" x14ac:dyDescent="0.25">
      <c r="D158" s="77"/>
      <c r="E158" s="77"/>
      <c r="F158" s="77"/>
      <c r="G158" s="77"/>
    </row>
  </sheetData>
  <mergeCells count="10">
    <mergeCell ref="AJ2:AO2"/>
    <mergeCell ref="AC2:AF2"/>
    <mergeCell ref="AG2:AI2"/>
    <mergeCell ref="Q2:T2"/>
    <mergeCell ref="AA2:AB2"/>
    <mergeCell ref="U2:V2"/>
    <mergeCell ref="O2:P2"/>
    <mergeCell ref="H2:N2"/>
    <mergeCell ref="W2:Y2"/>
    <mergeCell ref="F2:G2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1076-09CD-4BAD-BB66-B38C53973CC8}">
  <dimension ref="A1:Z21"/>
  <sheetViews>
    <sheetView rightToLeft="1" workbookViewId="0">
      <selection activeCell="G19" sqref="G19"/>
    </sheetView>
  </sheetViews>
  <sheetFormatPr defaultRowHeight="13.8" x14ac:dyDescent="0.25"/>
  <cols>
    <col min="1" max="1" width="15.69921875" customWidth="1"/>
    <col min="4" max="4" width="14.796875" bestFit="1" customWidth="1"/>
    <col min="5" max="5" width="19" bestFit="1" customWidth="1"/>
    <col min="6" max="6" width="12.296875" bestFit="1" customWidth="1"/>
    <col min="7" max="7" width="9.8984375" customWidth="1"/>
    <col min="8" max="8" width="10.796875" customWidth="1"/>
    <col min="9" max="9" width="9.8984375" customWidth="1"/>
    <col min="10" max="10" width="11.296875" customWidth="1"/>
    <col min="11" max="11" width="11" customWidth="1"/>
    <col min="12" max="12" width="10.796875" customWidth="1"/>
    <col min="13" max="13" width="12.5" bestFit="1" customWidth="1"/>
    <col min="14" max="14" width="12.5" customWidth="1"/>
  </cols>
  <sheetData>
    <row r="1" spans="1:26" x14ac:dyDescent="0.25">
      <c r="C1" s="104" t="s">
        <v>442</v>
      </c>
      <c r="D1" s="127" t="s">
        <v>441</v>
      </c>
      <c r="E1" s="96" t="s">
        <v>451</v>
      </c>
      <c r="F1" s="101" t="s">
        <v>439</v>
      </c>
      <c r="G1" s="120" t="s">
        <v>438</v>
      </c>
      <c r="H1" s="128"/>
      <c r="I1" s="128"/>
      <c r="J1" s="128"/>
      <c r="K1" s="128"/>
      <c r="L1" s="121"/>
      <c r="M1" s="129" t="s">
        <v>440</v>
      </c>
      <c r="N1" s="130"/>
      <c r="Z1" s="2"/>
    </row>
    <row r="2" spans="1:26" x14ac:dyDescent="0.25">
      <c r="A2" s="4" t="s">
        <v>382</v>
      </c>
      <c r="B2" s="4"/>
      <c r="C2" s="105" t="s">
        <v>389</v>
      </c>
      <c r="D2" s="98" t="s">
        <v>71</v>
      </c>
      <c r="E2" s="95" t="s">
        <v>467</v>
      </c>
      <c r="F2" s="101" t="s">
        <v>13</v>
      </c>
      <c r="G2" s="102" t="s">
        <v>526</v>
      </c>
      <c r="H2" s="102" t="s">
        <v>560</v>
      </c>
      <c r="I2" s="102" t="s">
        <v>20</v>
      </c>
      <c r="J2" s="102" t="s">
        <v>563</v>
      </c>
      <c r="K2" s="102" t="s">
        <v>565</v>
      </c>
      <c r="L2" s="102" t="s">
        <v>567</v>
      </c>
      <c r="M2" s="100" t="s">
        <v>51</v>
      </c>
      <c r="N2" s="99" t="s">
        <v>569</v>
      </c>
      <c r="O2" s="4" t="s">
        <v>393</v>
      </c>
    </row>
    <row r="3" spans="1:26" x14ac:dyDescent="0.25">
      <c r="A3" s="4" t="s">
        <v>391</v>
      </c>
      <c r="B3" s="4" t="s">
        <v>557</v>
      </c>
      <c r="C3" s="5">
        <v>0.76990000000000003</v>
      </c>
      <c r="D3" s="5">
        <v>1.1900000000000001E-2</v>
      </c>
      <c r="E3" s="5">
        <v>0.1784</v>
      </c>
      <c r="F3" s="5">
        <v>1.1900000000000001E-2</v>
      </c>
      <c r="G3" s="5">
        <v>1.2999999999999999E-2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1.49E-2</v>
      </c>
      <c r="N3" s="5">
        <v>0</v>
      </c>
      <c r="O3" s="45">
        <f>SUM(C3:M3)</f>
        <v>1</v>
      </c>
    </row>
    <row r="4" spans="1:26" x14ac:dyDescent="0.25">
      <c r="A4" s="4" t="s">
        <v>559</v>
      </c>
      <c r="B4" s="4" t="s">
        <v>557</v>
      </c>
      <c r="C4" s="5">
        <v>0.76990000000000003</v>
      </c>
      <c r="D4" s="5">
        <v>1.1900000000000001E-2</v>
      </c>
      <c r="E4" s="5">
        <v>0.1784</v>
      </c>
      <c r="F4" s="5">
        <v>1.1900000000000001E-2</v>
      </c>
      <c r="G4" s="5">
        <v>0</v>
      </c>
      <c r="H4" s="5">
        <v>1.2999999999999999E-2</v>
      </c>
      <c r="I4" s="5">
        <v>0</v>
      </c>
      <c r="J4" s="5">
        <v>0</v>
      </c>
      <c r="K4" s="5">
        <v>0</v>
      </c>
      <c r="L4" s="5">
        <v>0</v>
      </c>
      <c r="M4" s="5">
        <v>1.49E-2</v>
      </c>
      <c r="N4" s="5">
        <v>0</v>
      </c>
      <c r="O4" s="45">
        <f t="shared" ref="O4:O9" si="0">SUM(C4:M4)</f>
        <v>1</v>
      </c>
    </row>
    <row r="5" spans="1:26" x14ac:dyDescent="0.25">
      <c r="A5" s="4" t="s">
        <v>561</v>
      </c>
      <c r="B5" s="4" t="s">
        <v>557</v>
      </c>
      <c r="C5" s="5">
        <v>0.76990000000000003</v>
      </c>
      <c r="D5" s="5">
        <v>1.1900000000000001E-2</v>
      </c>
      <c r="E5" s="5">
        <v>0.1784</v>
      </c>
      <c r="F5" s="5">
        <v>1.1900000000000001E-2</v>
      </c>
      <c r="G5" s="5">
        <v>0</v>
      </c>
      <c r="H5" s="5">
        <v>0</v>
      </c>
      <c r="I5" s="5">
        <v>1.2999999999999999E-2</v>
      </c>
      <c r="J5" s="5">
        <v>0</v>
      </c>
      <c r="K5" s="5">
        <v>0</v>
      </c>
      <c r="L5" s="5">
        <v>0</v>
      </c>
      <c r="M5" s="5">
        <v>1.49E-2</v>
      </c>
      <c r="N5" s="5">
        <v>0</v>
      </c>
      <c r="O5" s="45">
        <f t="shared" si="0"/>
        <v>1</v>
      </c>
    </row>
    <row r="6" spans="1:26" x14ac:dyDescent="0.25">
      <c r="A6" s="4" t="s">
        <v>562</v>
      </c>
      <c r="B6" s="4" t="s">
        <v>557</v>
      </c>
      <c r="C6" s="5">
        <v>0.76990000000000003</v>
      </c>
      <c r="D6" s="5">
        <v>1.1900000000000001E-2</v>
      </c>
      <c r="E6" s="5">
        <v>0.1784</v>
      </c>
      <c r="F6" s="5">
        <v>1.1900000000000001E-2</v>
      </c>
      <c r="G6" s="5">
        <v>0</v>
      </c>
      <c r="H6" s="5">
        <v>0</v>
      </c>
      <c r="I6" s="5">
        <v>0</v>
      </c>
      <c r="J6" s="5">
        <v>1.2999999999999999E-2</v>
      </c>
      <c r="K6" s="5">
        <v>0</v>
      </c>
      <c r="L6" s="5">
        <v>0</v>
      </c>
      <c r="M6" s="5">
        <v>1.49E-2</v>
      </c>
      <c r="N6" s="5">
        <v>0</v>
      </c>
      <c r="O6" s="45">
        <f t="shared" si="0"/>
        <v>1</v>
      </c>
    </row>
    <row r="7" spans="1:26" x14ac:dyDescent="0.25">
      <c r="A7" s="4" t="s">
        <v>564</v>
      </c>
      <c r="B7" s="4" t="s">
        <v>557</v>
      </c>
      <c r="C7" s="5">
        <v>0.76990000000000003</v>
      </c>
      <c r="D7" s="5">
        <v>1.1900000000000001E-2</v>
      </c>
      <c r="E7" s="5">
        <v>0.1784</v>
      </c>
      <c r="F7" s="5">
        <v>1.1900000000000001E-2</v>
      </c>
      <c r="G7" s="5">
        <v>0</v>
      </c>
      <c r="H7" s="5">
        <v>0</v>
      </c>
      <c r="I7" s="5">
        <v>0</v>
      </c>
      <c r="J7" s="5">
        <v>0</v>
      </c>
      <c r="K7" s="5">
        <v>1.2999999999999999E-2</v>
      </c>
      <c r="L7" s="5">
        <v>0</v>
      </c>
      <c r="M7" s="5">
        <v>1.49E-2</v>
      </c>
      <c r="N7" s="5">
        <v>0</v>
      </c>
      <c r="O7" s="45">
        <f t="shared" si="0"/>
        <v>1</v>
      </c>
    </row>
    <row r="8" spans="1:26" x14ac:dyDescent="0.25">
      <c r="A8" s="4" t="s">
        <v>566</v>
      </c>
      <c r="B8" s="4" t="s">
        <v>557</v>
      </c>
      <c r="C8" s="5">
        <v>0.76990000000000003</v>
      </c>
      <c r="D8" s="5">
        <v>1.1900000000000001E-2</v>
      </c>
      <c r="E8" s="5">
        <v>0.1784</v>
      </c>
      <c r="F8" s="5">
        <v>1.1900000000000001E-2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1.2999999999999999E-2</v>
      </c>
      <c r="M8" s="5">
        <v>1.49E-2</v>
      </c>
      <c r="N8" s="5">
        <v>0</v>
      </c>
      <c r="O8" s="45">
        <f t="shared" si="0"/>
        <v>1</v>
      </c>
    </row>
    <row r="9" spans="1:26" x14ac:dyDescent="0.25">
      <c r="A9" s="4" t="s">
        <v>568</v>
      </c>
      <c r="B9" s="4" t="s">
        <v>557</v>
      </c>
      <c r="C9" s="5">
        <v>0.76990000000000003</v>
      </c>
      <c r="D9" s="5">
        <v>1.1900000000000001E-2</v>
      </c>
      <c r="E9" s="5">
        <v>0.1784</v>
      </c>
      <c r="F9" s="5">
        <v>1.1900000000000001E-2</v>
      </c>
      <c r="G9" s="5">
        <v>0</v>
      </c>
      <c r="H9" s="5">
        <v>0</v>
      </c>
      <c r="I9" s="5">
        <v>1.2999999999999999E-2</v>
      </c>
      <c r="J9" s="5">
        <v>0</v>
      </c>
      <c r="K9" s="5">
        <v>0</v>
      </c>
      <c r="L9" s="5">
        <v>0</v>
      </c>
      <c r="M9" s="5">
        <v>0</v>
      </c>
      <c r="N9" s="5">
        <v>1.49E-2</v>
      </c>
      <c r="O9" s="45">
        <f>SUM(C9:N9)</f>
        <v>1</v>
      </c>
    </row>
    <row r="10" spans="1:26" x14ac:dyDescent="0.25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26" x14ac:dyDescent="0.25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</row>
    <row r="14" spans="1:26" x14ac:dyDescent="0.25">
      <c r="M14" s="19"/>
      <c r="N14" s="19"/>
    </row>
    <row r="15" spans="1:26" x14ac:dyDescent="0.25">
      <c r="M15" s="19"/>
      <c r="N15" s="19"/>
    </row>
    <row r="16" spans="1:26" x14ac:dyDescent="0.25">
      <c r="M16" s="19"/>
      <c r="N16" s="19"/>
    </row>
    <row r="17" spans="13:14" x14ac:dyDescent="0.25">
      <c r="M17" s="19"/>
      <c r="N17" s="19"/>
    </row>
    <row r="18" spans="13:14" x14ac:dyDescent="0.25">
      <c r="M18" s="19"/>
      <c r="N18" s="19"/>
    </row>
    <row r="19" spans="13:14" x14ac:dyDescent="0.25">
      <c r="M19" s="19"/>
      <c r="N19" s="19"/>
    </row>
    <row r="20" spans="13:14" x14ac:dyDescent="0.25">
      <c r="M20" s="19"/>
      <c r="N20" s="19"/>
    </row>
    <row r="21" spans="13:14" x14ac:dyDescent="0.25">
      <c r="M21" s="2"/>
      <c r="N21" s="2"/>
    </row>
  </sheetData>
  <mergeCells count="2">
    <mergeCell ref="G1:L1"/>
    <mergeCell ref="M1:N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1811-5653-4D9C-B36E-7B2D23457C67}">
  <dimension ref="A2:Y28"/>
  <sheetViews>
    <sheetView rightToLeft="1" workbookViewId="0">
      <selection activeCell="E24" sqref="E24"/>
    </sheetView>
  </sheetViews>
  <sheetFormatPr defaultRowHeight="13.8" x14ac:dyDescent="0.25"/>
  <cols>
    <col min="1" max="1" width="9.3984375" bestFit="1" customWidth="1"/>
    <col min="2" max="2" width="28.09765625" customWidth="1"/>
    <col min="3" max="4" width="13.3984375" customWidth="1"/>
    <col min="5" max="6" width="13.8984375" customWidth="1"/>
    <col min="7" max="8" width="13.3984375" style="2" customWidth="1"/>
    <col min="9" max="10" width="13.3984375" customWidth="1"/>
    <col min="11" max="11" width="13.69921875" style="2" customWidth="1"/>
    <col min="12" max="12" width="11.09765625" style="2" customWidth="1"/>
    <col min="13" max="13" width="15.296875" style="2" customWidth="1"/>
    <col min="14" max="14" width="13" style="2" customWidth="1"/>
    <col min="15" max="15" width="14.5" customWidth="1"/>
    <col min="16" max="16" width="17" customWidth="1"/>
    <col min="17" max="17" width="15.19921875" customWidth="1"/>
    <col min="18" max="18" width="16.09765625" customWidth="1"/>
    <col min="21" max="21" width="7.59765625" customWidth="1"/>
    <col min="22" max="22" width="15.296875" customWidth="1"/>
  </cols>
  <sheetData>
    <row r="2" spans="1:25" x14ac:dyDescent="0.25">
      <c r="A2" t="s">
        <v>387</v>
      </c>
    </row>
    <row r="4" spans="1:25" x14ac:dyDescent="0.25">
      <c r="A4" t="s">
        <v>375</v>
      </c>
      <c r="B4" s="2" t="s">
        <v>376</v>
      </c>
      <c r="C4" s="2"/>
      <c r="D4" s="2"/>
      <c r="E4" s="2"/>
      <c r="F4" s="2"/>
      <c r="I4" s="2"/>
      <c r="J4" s="2"/>
    </row>
    <row r="5" spans="1:25" x14ac:dyDescent="0.25">
      <c r="O5" s="68" t="s">
        <v>386</v>
      </c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x14ac:dyDescent="0.25">
      <c r="A6" s="18" t="s">
        <v>388</v>
      </c>
      <c r="B6" s="14" t="s">
        <v>38</v>
      </c>
      <c r="C6" s="11"/>
      <c r="D6" s="11"/>
      <c r="E6" s="72" t="s">
        <v>410</v>
      </c>
      <c r="F6" s="72"/>
      <c r="G6" s="72" t="s">
        <v>408</v>
      </c>
      <c r="H6" s="72"/>
      <c r="I6" s="72" t="s">
        <v>407</v>
      </c>
      <c r="J6" s="72"/>
      <c r="K6" s="72" t="s">
        <v>405</v>
      </c>
      <c r="L6" s="72"/>
      <c r="M6" s="71" t="s">
        <v>402</v>
      </c>
      <c r="N6" s="71"/>
      <c r="O6" s="4" t="s">
        <v>380</v>
      </c>
      <c r="P6" s="36" t="s">
        <v>379</v>
      </c>
      <c r="Q6" s="4" t="s">
        <v>385</v>
      </c>
      <c r="R6" s="4" t="s">
        <v>378</v>
      </c>
      <c r="S6" s="71" t="s">
        <v>384</v>
      </c>
      <c r="T6" s="71"/>
      <c r="U6" s="71"/>
      <c r="V6" s="4" t="s">
        <v>376</v>
      </c>
      <c r="W6" s="71" t="s">
        <v>381</v>
      </c>
      <c r="X6" s="71"/>
      <c r="Y6" s="4" t="s">
        <v>382</v>
      </c>
    </row>
    <row r="7" spans="1:25" x14ac:dyDescent="0.25">
      <c r="A7" s="41" t="s">
        <v>39</v>
      </c>
      <c r="B7" s="41"/>
      <c r="C7" s="43"/>
      <c r="D7" s="43"/>
      <c r="E7" s="11" t="s">
        <v>409</v>
      </c>
      <c r="F7" s="11" t="s">
        <v>403</v>
      </c>
      <c r="G7" s="11" t="s">
        <v>409</v>
      </c>
      <c r="H7" s="11" t="s">
        <v>403</v>
      </c>
      <c r="I7" s="11" t="s">
        <v>404</v>
      </c>
      <c r="J7" s="11" t="s">
        <v>403</v>
      </c>
      <c r="K7" s="11" t="s">
        <v>404</v>
      </c>
      <c r="L7" s="11" t="s">
        <v>403</v>
      </c>
      <c r="M7" s="11" t="s">
        <v>404</v>
      </c>
      <c r="N7" s="4" t="s">
        <v>403</v>
      </c>
      <c r="O7" s="4" t="s">
        <v>38</v>
      </c>
      <c r="P7" s="4" t="s">
        <v>58</v>
      </c>
      <c r="Q7" s="4" t="s">
        <v>55</v>
      </c>
      <c r="R7" s="4" t="s">
        <v>55</v>
      </c>
      <c r="S7" s="4" t="s">
        <v>38</v>
      </c>
      <c r="T7" s="4" t="s">
        <v>46</v>
      </c>
      <c r="U7" s="4" t="s">
        <v>47</v>
      </c>
      <c r="V7" s="4" t="s">
        <v>38</v>
      </c>
      <c r="W7" s="11" t="s">
        <v>1</v>
      </c>
      <c r="X7" s="11" t="s">
        <v>2</v>
      </c>
      <c r="Y7" s="11" t="s">
        <v>383</v>
      </c>
    </row>
    <row r="8" spans="1:25" x14ac:dyDescent="0.25">
      <c r="A8" s="2"/>
      <c r="C8" s="36"/>
      <c r="D8" s="36"/>
      <c r="E8" s="4">
        <v>7.98</v>
      </c>
      <c r="F8" s="36"/>
      <c r="G8" s="4">
        <v>7.99</v>
      </c>
      <c r="H8" s="4"/>
      <c r="I8" s="4">
        <v>8.02</v>
      </c>
      <c r="J8" s="36"/>
      <c r="K8" s="4">
        <v>8.02</v>
      </c>
      <c r="L8" s="4"/>
      <c r="M8" s="4">
        <v>7.99</v>
      </c>
      <c r="N8" s="4"/>
      <c r="O8" s="4">
        <v>8.4499999999999993</v>
      </c>
      <c r="P8" s="4">
        <v>8.35</v>
      </c>
      <c r="Q8" s="4">
        <v>8.6</v>
      </c>
      <c r="R8" s="4">
        <v>8.52</v>
      </c>
      <c r="S8" s="4"/>
      <c r="T8" s="4"/>
      <c r="U8" s="4"/>
      <c r="V8" s="4">
        <v>8.5500000000000007</v>
      </c>
      <c r="W8" s="4"/>
      <c r="X8" s="4">
        <v>6.17</v>
      </c>
      <c r="Y8" s="4" t="s">
        <v>8</v>
      </c>
    </row>
    <row r="9" spans="1:25" x14ac:dyDescent="0.25">
      <c r="A9" t="s">
        <v>375</v>
      </c>
      <c r="B9" s="2" t="s">
        <v>377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>
        <v>1.31</v>
      </c>
      <c r="Y9" s="4" t="s">
        <v>11</v>
      </c>
    </row>
    <row r="10" spans="1:25" x14ac:dyDescent="0.25">
      <c r="C10" s="36"/>
      <c r="D10" s="36"/>
      <c r="E10" s="71" t="s">
        <v>406</v>
      </c>
      <c r="F10" s="71"/>
      <c r="G10" s="4"/>
      <c r="H10" s="4"/>
      <c r="I10" s="69" t="s">
        <v>406</v>
      </c>
      <c r="J10" s="70"/>
      <c r="K10" s="69" t="s">
        <v>406</v>
      </c>
      <c r="L10" s="70"/>
      <c r="M10" s="69" t="s">
        <v>406</v>
      </c>
      <c r="N10" s="70"/>
      <c r="O10" s="4"/>
      <c r="P10" s="4"/>
      <c r="Q10" s="4"/>
      <c r="R10" s="4"/>
      <c r="S10" s="4"/>
      <c r="T10" s="4"/>
      <c r="U10" s="4"/>
      <c r="V10" s="4"/>
      <c r="W10" s="4"/>
      <c r="X10" s="4"/>
      <c r="Y10" s="4" t="s">
        <v>14</v>
      </c>
    </row>
    <row r="11" spans="1:25" x14ac:dyDescent="0.25">
      <c r="A11" s="18" t="s">
        <v>388</v>
      </c>
      <c r="B11" s="14" t="s">
        <v>45</v>
      </c>
      <c r="C11" s="11"/>
      <c r="D11" s="11"/>
      <c r="E11" s="11">
        <v>21974</v>
      </c>
      <c r="F11" s="11">
        <v>16793</v>
      </c>
      <c r="G11" s="11">
        <v>17588</v>
      </c>
      <c r="H11" s="11">
        <v>14063</v>
      </c>
      <c r="I11" s="11">
        <v>12400</v>
      </c>
      <c r="J11" s="11">
        <v>11166</v>
      </c>
      <c r="K11" s="11">
        <v>18657</v>
      </c>
      <c r="L11" s="11">
        <v>15261</v>
      </c>
      <c r="M11" s="11">
        <v>16246</v>
      </c>
      <c r="N11" s="4">
        <v>14579</v>
      </c>
      <c r="O11" s="4">
        <v>21875</v>
      </c>
      <c r="P11" s="4">
        <v>30227</v>
      </c>
      <c r="Q11" s="4">
        <v>34952</v>
      </c>
      <c r="R11" s="4">
        <v>32428</v>
      </c>
      <c r="S11" s="4">
        <v>25738</v>
      </c>
      <c r="T11" s="4">
        <v>33602</v>
      </c>
      <c r="U11" s="4">
        <v>36295</v>
      </c>
      <c r="V11" s="4">
        <v>25470</v>
      </c>
      <c r="W11" s="4">
        <v>57837</v>
      </c>
      <c r="X11" s="4">
        <v>56352</v>
      </c>
      <c r="Y11" s="4" t="s">
        <v>18</v>
      </c>
    </row>
    <row r="12" spans="1:25" x14ac:dyDescent="0.25">
      <c r="A12" s="41" t="s">
        <v>48</v>
      </c>
      <c r="B12" s="41"/>
      <c r="C12" s="43"/>
      <c r="D12" s="43"/>
      <c r="E12" s="11">
        <v>13334</v>
      </c>
      <c r="F12" s="11">
        <v>9978</v>
      </c>
      <c r="G12" s="11">
        <v>10872</v>
      </c>
      <c r="H12" s="11">
        <v>8205</v>
      </c>
      <c r="I12" s="11">
        <v>8022</v>
      </c>
      <c r="J12" s="11">
        <v>6978</v>
      </c>
      <c r="K12" s="11">
        <v>11574</v>
      </c>
      <c r="L12" s="11">
        <v>9273</v>
      </c>
      <c r="M12" s="11">
        <v>10137</v>
      </c>
      <c r="N12" s="4">
        <v>8635</v>
      </c>
      <c r="O12" s="4">
        <v>13784</v>
      </c>
      <c r="P12" s="4">
        <v>18745</v>
      </c>
      <c r="Q12" s="4">
        <v>22049</v>
      </c>
      <c r="R12" s="4">
        <v>20249</v>
      </c>
      <c r="S12" s="4">
        <v>15732</v>
      </c>
      <c r="T12" s="4">
        <v>21281</v>
      </c>
      <c r="U12" s="4">
        <v>21253</v>
      </c>
      <c r="V12" s="4">
        <v>14872</v>
      </c>
      <c r="W12" s="4">
        <v>37174</v>
      </c>
      <c r="X12" s="4">
        <v>35023</v>
      </c>
      <c r="Y12" s="4" t="s">
        <v>21</v>
      </c>
    </row>
    <row r="13" spans="1:25" x14ac:dyDescent="0.25">
      <c r="C13" s="36"/>
      <c r="D13" s="36"/>
      <c r="E13" s="4">
        <v>7051</v>
      </c>
      <c r="F13" s="4">
        <v>5029</v>
      </c>
      <c r="G13" s="4">
        <v>5708</v>
      </c>
      <c r="H13" s="4">
        <v>4247</v>
      </c>
      <c r="I13" s="4">
        <v>4547</v>
      </c>
      <c r="J13" s="4">
        <v>3494</v>
      </c>
      <c r="K13" s="4">
        <v>6342</v>
      </c>
      <c r="L13" s="4">
        <v>4904</v>
      </c>
      <c r="M13" s="4">
        <v>5290</v>
      </c>
      <c r="N13" s="4">
        <v>4379</v>
      </c>
      <c r="O13" s="4">
        <v>7433</v>
      </c>
      <c r="P13" s="4">
        <v>9747</v>
      </c>
      <c r="Q13" s="4">
        <v>12092</v>
      </c>
      <c r="R13" s="4">
        <v>10831</v>
      </c>
      <c r="S13" s="4">
        <v>8420</v>
      </c>
      <c r="T13" s="4">
        <v>10873</v>
      </c>
      <c r="U13" s="4">
        <v>11784</v>
      </c>
      <c r="V13" s="4">
        <v>7558</v>
      </c>
      <c r="W13" s="4">
        <v>19741</v>
      </c>
      <c r="X13" s="4">
        <v>18850</v>
      </c>
      <c r="Y13" s="4" t="s">
        <v>25</v>
      </c>
    </row>
    <row r="14" spans="1:25" x14ac:dyDescent="0.25">
      <c r="A14" t="s">
        <v>375</v>
      </c>
      <c r="B14" s="2" t="s">
        <v>380</v>
      </c>
      <c r="C14" s="4"/>
      <c r="D14" s="4"/>
      <c r="E14" s="4">
        <v>4561</v>
      </c>
      <c r="F14" s="4">
        <v>3195</v>
      </c>
      <c r="G14" s="4">
        <v>3632</v>
      </c>
      <c r="H14" s="4">
        <v>2605</v>
      </c>
      <c r="I14" s="4">
        <v>3108</v>
      </c>
      <c r="J14" s="4">
        <v>2387</v>
      </c>
      <c r="K14" s="4">
        <v>4119</v>
      </c>
      <c r="L14" s="4">
        <v>3131</v>
      </c>
      <c r="M14" s="4">
        <v>3567</v>
      </c>
      <c r="N14" s="4">
        <v>2905</v>
      </c>
      <c r="O14" s="4">
        <v>4733</v>
      </c>
      <c r="P14" s="4">
        <v>6194</v>
      </c>
      <c r="Q14" s="4">
        <v>7798</v>
      </c>
      <c r="R14" s="4">
        <v>6872</v>
      </c>
      <c r="S14" s="4">
        <v>5075</v>
      </c>
      <c r="T14" s="4">
        <v>6690</v>
      </c>
      <c r="U14" s="4">
        <v>7814</v>
      </c>
      <c r="V14" s="4">
        <v>4389</v>
      </c>
      <c r="W14" s="4">
        <v>10489</v>
      </c>
      <c r="X14" s="4">
        <v>8947</v>
      </c>
      <c r="Y14" s="4" t="s">
        <v>29</v>
      </c>
    </row>
    <row r="15" spans="1:25" x14ac:dyDescent="0.25">
      <c r="B15" s="2"/>
      <c r="C15" s="2"/>
      <c r="D15" s="2"/>
      <c r="E15" s="2"/>
      <c r="F15" s="2"/>
      <c r="I15" s="2"/>
      <c r="J15" s="2"/>
    </row>
    <row r="16" spans="1:25" x14ac:dyDescent="0.25">
      <c r="A16" s="18" t="s">
        <v>388</v>
      </c>
      <c r="B16" s="2" t="s">
        <v>38</v>
      </c>
      <c r="C16" s="2"/>
      <c r="D16" s="2"/>
      <c r="E16" s="2"/>
      <c r="F16" s="2"/>
      <c r="I16" s="2"/>
      <c r="J16" s="2"/>
    </row>
    <row r="17" spans="1:18" x14ac:dyDescent="0.25">
      <c r="A17" t="s">
        <v>61</v>
      </c>
    </row>
    <row r="19" spans="1:18" x14ac:dyDescent="0.25">
      <c r="B19" s="2"/>
      <c r="C19" s="2"/>
      <c r="D19" s="2"/>
      <c r="E19" s="2"/>
      <c r="F19" s="2"/>
      <c r="I19" s="2"/>
      <c r="J19" s="2"/>
    </row>
    <row r="21" spans="1:18" x14ac:dyDescent="0.25">
      <c r="A21" s="42"/>
      <c r="B21" s="42"/>
      <c r="C21" s="42"/>
      <c r="D21" s="42"/>
      <c r="E21" s="42"/>
      <c r="F21" s="42"/>
      <c r="G21" s="1"/>
      <c r="H21" s="1"/>
      <c r="I21" s="42"/>
      <c r="J21" s="42"/>
      <c r="K21" s="1"/>
      <c r="L21" s="1"/>
      <c r="M21" s="1"/>
      <c r="O21" s="42"/>
      <c r="P21" s="42"/>
      <c r="Q21" s="42"/>
      <c r="R21" s="42"/>
    </row>
    <row r="22" spans="1:18" x14ac:dyDescent="0.25">
      <c r="A22" s="18"/>
      <c r="B22" s="17"/>
      <c r="C22" s="17"/>
      <c r="D22" s="17"/>
      <c r="E22" s="17"/>
      <c r="F22" s="17"/>
      <c r="I22" s="17"/>
      <c r="J22" s="17"/>
      <c r="O22" s="2"/>
      <c r="Q22" s="2"/>
    </row>
    <row r="23" spans="1:18" x14ac:dyDescent="0.25">
      <c r="O23" s="2"/>
      <c r="Q23" s="2"/>
    </row>
    <row r="24" spans="1:18" x14ac:dyDescent="0.25">
      <c r="O24" s="2"/>
      <c r="Q24" s="2"/>
    </row>
    <row r="25" spans="1:18" x14ac:dyDescent="0.25">
      <c r="O25" s="2"/>
      <c r="Q25" s="2"/>
    </row>
    <row r="26" spans="1:18" x14ac:dyDescent="0.25">
      <c r="O26" s="2"/>
      <c r="Q26" s="2"/>
    </row>
    <row r="27" spans="1:18" x14ac:dyDescent="0.25">
      <c r="O27" s="2"/>
      <c r="Q27" s="2"/>
    </row>
    <row r="28" spans="1:18" x14ac:dyDescent="0.25">
      <c r="O28" s="2"/>
      <c r="Q28" s="2"/>
    </row>
  </sheetData>
  <mergeCells count="12">
    <mergeCell ref="O5:Y5"/>
    <mergeCell ref="I6:J6"/>
    <mergeCell ref="I10:J10"/>
    <mergeCell ref="G6:H6"/>
    <mergeCell ref="E6:F6"/>
    <mergeCell ref="E10:F10"/>
    <mergeCell ref="M10:N10"/>
    <mergeCell ref="K10:L10"/>
    <mergeCell ref="W6:X6"/>
    <mergeCell ref="S6:U6"/>
    <mergeCell ref="K6:L6"/>
    <mergeCell ref="M6:N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931cf9-d2e7-47b1-a6c6-61360c877449" xsi:nil="true"/>
    <lcf76f155ced4ddcb4097134ff3c332f xmlns="4f529719-dff2-4b6d-8932-d7e3438099f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BB3A88E8B6E94197F7268ECAC649E5" ma:contentTypeVersion="13" ma:contentTypeDescription="Create a new document." ma:contentTypeScope="" ma:versionID="f77aaa5d1c7a6e515a7da3d0e93a20f3">
  <xsd:schema xmlns:xsd="http://www.w3.org/2001/XMLSchema" xmlns:xs="http://www.w3.org/2001/XMLSchema" xmlns:p="http://schemas.microsoft.com/office/2006/metadata/properties" xmlns:ns2="4f529719-dff2-4b6d-8932-d7e3438099fa" xmlns:ns3="3c931cf9-d2e7-47b1-a6c6-61360c877449" targetNamespace="http://schemas.microsoft.com/office/2006/metadata/properties" ma:root="true" ma:fieldsID="95c6474ed805bf34f7c65199040dc66b" ns2:_="" ns3:_="">
    <xsd:import namespace="4f529719-dff2-4b6d-8932-d7e3438099fa"/>
    <xsd:import namespace="3c931cf9-d2e7-47b1-a6c6-61360c8774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29719-dff2-4b6d-8932-d7e3438099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2b70261-128a-4326-a3a4-d318d26493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31cf9-d2e7-47b1-a6c6-61360c87744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7eec23b-7192-465a-a7d4-e7ed6a1307f1}" ma:internalName="TaxCatchAll" ma:showField="CatchAllData" ma:web="3c931cf9-d2e7-47b1-a6c6-61360c8774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02A5B5-6510-429B-87F7-EDB5E69C5DCC}">
  <ds:schemaRefs>
    <ds:schemaRef ds:uri="http://schemas.microsoft.com/office/2006/metadata/properties"/>
    <ds:schemaRef ds:uri="http://schemas.microsoft.com/office/infopath/2007/PartnerControls"/>
    <ds:schemaRef ds:uri="3c931cf9-d2e7-47b1-a6c6-61360c877449"/>
    <ds:schemaRef ds:uri="4f529719-dff2-4b6d-8932-d7e3438099fa"/>
  </ds:schemaRefs>
</ds:datastoreItem>
</file>

<file path=customXml/itemProps2.xml><?xml version="1.0" encoding="utf-8"?>
<ds:datastoreItem xmlns:ds="http://schemas.openxmlformats.org/officeDocument/2006/customXml" ds:itemID="{13DBE8D8-DECC-4B9A-ADC6-9C97E7FBF8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1AF02EF-6C5C-4933-BE01-46CCBBCA16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529719-dff2-4b6d-8932-d7e3438099fa"/>
    <ds:schemaRef ds:uri="3c931cf9-d2e7-47b1-a6c6-61360c8774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פורמולציות</vt:lpstr>
      <vt:lpstr>פורמולציות -סיכום</vt:lpstr>
      <vt:lpstr>פורמולציות נוגדי קצף</vt:lpstr>
      <vt:lpstr>בדיקות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RGB -  lab</dc:creator>
  <cp:lastModifiedBy>RGB -  lab</cp:lastModifiedBy>
  <dcterms:created xsi:type="dcterms:W3CDTF">2026-03-30T10:37:29Z</dcterms:created>
  <dcterms:modified xsi:type="dcterms:W3CDTF">2026-04-09T10:42:32Z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0x01010094BB3A88E8B6E94197F7268ECAC649E5</vt:lpwstr>
  </property>
</Properties>
</file>