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פורמולציות" sheetId="1" r:id="rId1"/>
    <sheet name="פורמולציות -סיכום" sheetId="2" r:id="rId2"/>
    <sheet name="בדיקו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0.000"/>
    <numFmt numFmtId="165" formatCode="0.0000"/>
    <numFmt numFmtId="166" formatCode="0.000%"/>
    <numFmt numFmtId="167" formatCode="0.0%"/>
    <numFmt numFmtId="168" formatCode="0.00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166" fontId="0" fillId="0" borderId="0" xfId="0" applyNumberFormat="1"/>
    <xf numFmtId="20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æ¸¸ã´ã·ãã¯ Light"/>
        <a:font script="Hang" typeface="ë§ì ê³ ë"/>
        <a:font script="Hans" typeface="ç­çº¿ Light"/>
        <a:font script="Hant" typeface="æ°ç´°æé«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æ¸¸ã´ã·ãã¯"/>
        <a:font script="Hang" typeface="ë§ì ê³ ë"/>
        <a:font script="Hans" typeface="ç­çº¿"/>
        <a:font script="Hant" typeface="æ°ç´°æé«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P1566"/>
  <sheetViews>
    <sheetView workbookViewId="0" rightToLeft="1"/>
  </sheetViews>
  <cols>
    <col min="1" max="1" customWidth="1" width="51.8984375"/>
    <col min="2" max="2" customWidth="1" width="10.3984375"/>
    <col min="3" max="3" customWidth="1" width="19.8984375"/>
    <col min="4" max="4" customWidth="1" width="16.69921875"/>
    <col min="5" max="5" customWidth="1" width="11.3984375"/>
    <col min="6" max="6" customWidth="1" width="9.796875"/>
    <col min="7" max="7" customWidth="1" width="9.296875"/>
    <col min="9" max="9" customWidth="1" width="42.5"/>
    <col min="10" max="10" customWidth="1" width="23.59765625"/>
    <col min="11" max="11" customWidth="1" width="20.5"/>
    <col min="12" max="12" customWidth="1" width="12.09765625"/>
    <col min="13" max="13" customWidth="1" width="14.19921875"/>
    <col min="14" max="14" customWidth="1" width="9.8984375"/>
  </cols>
  <sheetData>
    <row r="1">
      <c r="A1" t="str">
        <v xml:space="preserve">               27.10.2022-001      Fresco INTUMESCENT</v>
      </c>
    </row>
    <row r="2"/>
    <row r="3">
      <c r="A3" t="str">
        <v>הוראות יצור</v>
      </c>
      <c r="B3" t="str">
        <v xml:space="preserve">המלצות </v>
      </c>
      <c r="C3" t="str">
        <v>חומר</v>
      </c>
      <c r="D3" t="str">
        <v>אחוז</v>
      </c>
      <c r="E3" t="str">
        <v>כמות ק''ג</v>
      </c>
    </row>
    <row r="4" ht="14.25" customHeight="1">
      <c r="A4" t="str">
        <v>5 min 300 rpm</v>
      </c>
      <c r="B4" t="str">
        <v>water</v>
      </c>
      <c r="C4" t="str">
        <v>water</v>
      </c>
      <c r="D4" s="1">
        <v>0.1904</v>
      </c>
      <c r="E4" s="2">
        <f>(E$13*D4)</f>
        <v>190.4</v>
      </c>
    </row>
    <row r="5" ht="14.25" customHeight="1">
      <c r="B5" t="str">
        <v>OROTAN 1124</v>
      </c>
      <c r="C5" t="str">
        <v>OROTAN 731</v>
      </c>
      <c r="D5" s="1">
        <v>0.00199</v>
      </c>
      <c r="E5" s="2">
        <f>(E$13*D5)</f>
        <v>1.99</v>
      </c>
    </row>
    <row r="6" ht="14.25" customHeight="1">
      <c r="A6" t="str">
        <v>30 min 1700 rpm</v>
      </c>
      <c r="B6" s="3" t="str">
        <v>KELZAN AR</v>
      </c>
      <c r="C6" t="str">
        <v>XANTHAN</v>
      </c>
      <c r="D6" s="1">
        <v>0.00199</v>
      </c>
      <c r="E6" s="2">
        <f>(E$13*D6)</f>
        <v>1.99</v>
      </c>
    </row>
    <row r="7" ht="14.25" customHeight="1">
      <c r="B7" s="3" t="str">
        <v>-</v>
      </c>
      <c r="C7" t="str">
        <v>AGITAN 80</v>
      </c>
      <c r="D7" s="1">
        <v>0.00299</v>
      </c>
      <c r="E7" s="2">
        <f>(E$13*D7)</f>
        <v>2.99</v>
      </c>
    </row>
    <row r="8">
      <c r="A8" t="str">
        <v>20 min 1700 rpm</v>
      </c>
      <c r="B8" s="3" t="str">
        <v>TIONA 595</v>
      </c>
      <c r="C8" t="str">
        <v>TIONA 826</v>
      </c>
      <c r="D8" s="1">
        <v>0.105683</v>
      </c>
      <c r="E8" s="2">
        <f>(E$13*D8)</f>
        <v>105.68299999999999</v>
      </c>
    </row>
    <row r="9" ht="14.25" customHeight="1">
      <c r="A9" t="str">
        <v>5 min 500 rpm</v>
      </c>
      <c r="B9" s="3" t="str">
        <v>PENTAERYTHRITOL</v>
      </c>
      <c r="C9" t="str">
        <v xml:space="preserve"> CHARMOR PM 40</v>
      </c>
      <c r="D9" s="1">
        <v>0.105683</v>
      </c>
      <c r="E9" s="2">
        <f>(E$13*D9)</f>
        <v>105.68299999999999</v>
      </c>
    </row>
    <row r="10" ht="14.25" customHeight="1">
      <c r="A10" t="str">
        <v>5 min 500 rpm</v>
      </c>
      <c r="B10" s="3" t="str">
        <v>MELAFINE</v>
      </c>
      <c r="C10" t="str">
        <v>AFLAMMIT PMN200</v>
      </c>
      <c r="D10" s="1">
        <v>0.105683</v>
      </c>
      <c r="E10" s="2">
        <f>(E$13*D10)</f>
        <v>105.68299999999999</v>
      </c>
    </row>
    <row r="11" ht="14.25" customHeight="1">
      <c r="B11" s="3" t="str">
        <v>EXOLIT AP435</v>
      </c>
      <c r="C11" s="3" t="str">
        <v>EXOLIT AP435</v>
      </c>
      <c r="D11" s="1">
        <v>0.274177</v>
      </c>
      <c r="E11" s="2">
        <f>(E$13*D11)</f>
        <v>274.177</v>
      </c>
    </row>
    <row r="12" ht="14.25" customHeight="1">
      <c r="A12" t="str">
        <v>1500 rpm</v>
      </c>
      <c r="B12" s="3" t="str">
        <v>MOWILITH DM230</v>
      </c>
      <c r="C12" t="str">
        <v>ENCOR 367</v>
      </c>
      <c r="D12" s="1">
        <v>0.21136</v>
      </c>
      <c r="E12" s="2">
        <f>(E$13*D12)</f>
        <v>211.35999999999999</v>
      </c>
    </row>
    <row r="13">
      <c r="D13" s="1">
        <f>SUM(D4:D12)</f>
        <v>0.999956</v>
      </c>
      <c r="E13">
        <v>1000</v>
      </c>
    </row>
    <row r="14"/>
    <row r="15">
      <c r="A15" t="str">
        <v>לאחר הוספת AFLAMIT 200 הוספנו קרח כי הדוגמה התחממה</v>
      </c>
    </row>
    <row r="16"/>
    <row r="17"/>
    <row r="18"/>
    <row r="19"/>
    <row r="20"/>
    <row r="21">
      <c r="A21" t="str">
        <v xml:space="preserve">               31.10.2022-002      Fresco INTUMESCENT</v>
      </c>
    </row>
    <row r="22"/>
    <row r="23">
      <c r="A23" t="str">
        <v>הוראות יצור</v>
      </c>
      <c r="B23" t="str">
        <v xml:space="preserve">המלצות </v>
      </c>
      <c r="C23" t="str">
        <v>חומר</v>
      </c>
      <c r="D23" t="str">
        <v>אחוז</v>
      </c>
      <c r="E23" t="str">
        <v>כמות ק''ג</v>
      </c>
    </row>
    <row r="24">
      <c r="A24" t="str">
        <v>25 min 1500 rpm</v>
      </c>
      <c r="B24" t="str">
        <v>water</v>
      </c>
      <c r="C24" t="str">
        <v>water</v>
      </c>
      <c r="D24" s="1">
        <v>0.19082</v>
      </c>
      <c r="E24" s="2">
        <f>(E$13*D24)</f>
        <v>190.82</v>
      </c>
    </row>
    <row r="25">
      <c r="B25" t="str">
        <v>OROTAN 1124</v>
      </c>
      <c r="C25" t="str">
        <v>OROTAN 731</v>
      </c>
      <c r="D25" s="1">
        <v>0.001994</v>
      </c>
      <c r="E25" s="2">
        <f>(E$13*D25)</f>
        <v>1.9940000000000002</v>
      </c>
    </row>
    <row r="26">
      <c r="B26" s="3" t="str">
        <v>KELZAN AR</v>
      </c>
      <c r="C26" t="str">
        <v>XANTHAN</v>
      </c>
      <c r="D26" s="1">
        <v>0.00159</v>
      </c>
      <c r="E26" s="2">
        <f>(E$13*D26)</f>
        <v>1.59</v>
      </c>
    </row>
    <row r="27">
      <c r="B27" s="3" t="str">
        <v>-</v>
      </c>
      <c r="C27" t="str">
        <v>AGITAN 80</v>
      </c>
      <c r="D27" s="1">
        <v>0.00299</v>
      </c>
      <c r="E27" s="2">
        <f>(E$13*D27)</f>
        <v>2.99</v>
      </c>
    </row>
    <row r="28">
      <c r="A28" t="str">
        <v>20 min 1700 rpm</v>
      </c>
      <c r="B28" s="3" t="str">
        <v>TIONA 595</v>
      </c>
      <c r="C28" t="str">
        <v>TIONA 826</v>
      </c>
      <c r="D28" s="1">
        <v>0.10568</v>
      </c>
      <c r="E28" s="2">
        <f>(E$13*D28)</f>
        <v>105.67999999999999</v>
      </c>
    </row>
    <row r="29">
      <c r="A29" t="str">
        <v>5 min 1500 rpm</v>
      </c>
      <c r="B29" s="3" t="str">
        <v>PENTAERYTHRITOL</v>
      </c>
      <c r="C29" t="str">
        <v xml:space="preserve"> CHARMOR PM 40</v>
      </c>
      <c r="D29" s="1">
        <v>0.10568</v>
      </c>
      <c r="E29" s="2">
        <f>(E$13*D29)</f>
        <v>105.67999999999999</v>
      </c>
    </row>
    <row r="30">
      <c r="A30" t="str">
        <v>5 min 1200 rpm</v>
      </c>
      <c r="B30" s="3" t="str">
        <v>MELAFINE</v>
      </c>
      <c r="C30" t="str">
        <v>MELAFINE</v>
      </c>
      <c r="D30" s="1">
        <v>0.10568</v>
      </c>
      <c r="E30" s="2">
        <f>(E$13*D30)</f>
        <v>105.67999999999999</v>
      </c>
    </row>
    <row r="31">
      <c r="A31" t="str">
        <v>10 min 1400 rpm</v>
      </c>
      <c r="B31" s="3" t="str">
        <v>EXOLIT AP435</v>
      </c>
      <c r="C31" s="3" t="str">
        <v>EXOLIT AP435</v>
      </c>
      <c r="D31" s="1">
        <v>0.274177</v>
      </c>
      <c r="E31" s="2">
        <f>(E$13*D31)</f>
        <v>274.177</v>
      </c>
    </row>
    <row r="32">
      <c r="A32" t="str">
        <v>10 min 1400 rpm</v>
      </c>
      <c r="B32" s="3" t="str">
        <v>MOWILITH DM230</v>
      </c>
      <c r="C32" t="str">
        <v>ENCOR 367</v>
      </c>
      <c r="D32" s="1">
        <v>0.21136</v>
      </c>
      <c r="E32" s="2">
        <f>(E$13*D32)</f>
        <v>211.35999999999999</v>
      </c>
    </row>
    <row r="33">
      <c r="D33" s="1">
        <f>SUM(D24:D32)</f>
        <v>0.9999709999999999</v>
      </c>
      <c r="E33">
        <v>1000</v>
      </c>
    </row>
    <row r="34">
      <c r="A34" t="str">
        <v>מאוד מוקצף הוספנו עוד אנטי קצף + עירבוב ידני</v>
      </c>
    </row>
    <row r="39">
      <c r="A39" t="str">
        <v xml:space="preserve">               10.11.2022-003     Fresco INTUMESCENT</v>
      </c>
    </row>
    <row r="40"/>
    <row r="41">
      <c r="A41" t="str">
        <v>הוראות יצור</v>
      </c>
      <c r="B41" t="str">
        <v xml:space="preserve">המלצות </v>
      </c>
      <c r="C41" t="str">
        <v>חומר</v>
      </c>
      <c r="D41" t="str">
        <v>אחוז</v>
      </c>
      <c r="E41" t="str">
        <v>כמות ק''ג</v>
      </c>
    </row>
    <row r="42" ht="14.25" customHeight="1">
      <c r="A42" t="str">
        <v>5 min 600 rpm</v>
      </c>
      <c r="B42" t="str">
        <v>water</v>
      </c>
      <c r="C42" t="str">
        <v>water</v>
      </c>
      <c r="D42" s="1">
        <v>0.18802</v>
      </c>
      <c r="E42" s="2">
        <f>(E$52*D42)</f>
        <v>188.01999999999998</v>
      </c>
    </row>
    <row r="43" ht="14.25" customHeight="1">
      <c r="B43" t="str">
        <v>OROTAN 1124</v>
      </c>
      <c r="C43" t="str">
        <v>OROTAN 731</v>
      </c>
      <c r="D43" s="1">
        <v>0.001596</v>
      </c>
      <c r="E43" s="2">
        <f>(E$52*D43)</f>
        <v>1.596</v>
      </c>
    </row>
    <row r="44" ht="14.25" customHeight="1">
      <c r="A44" t="str">
        <v>10 min 1200 rpm</v>
      </c>
      <c r="B44" s="3" t="str">
        <v>KELZAN AR</v>
      </c>
      <c r="C44" t="str">
        <v>COMBIZELL</v>
      </c>
      <c r="D44" s="1">
        <v>0.000998</v>
      </c>
      <c r="E44" s="2">
        <f>(E$52*D44)</f>
        <v>0.998</v>
      </c>
    </row>
    <row r="45" ht="15" customHeight="1">
      <c r="B45" s="3" t="str">
        <v>-</v>
      </c>
      <c r="C45" t="str">
        <v>RM-825</v>
      </c>
      <c r="D45" s="1">
        <v>0.002994</v>
      </c>
      <c r="E45" s="2">
        <f>(E$52*D45)</f>
        <v>2.994</v>
      </c>
    </row>
    <row r="46" ht="15" customHeight="1">
      <c r="A46" t="str">
        <v>20 min 1400 rpm</v>
      </c>
      <c r="B46" s="3" t="str">
        <v>-</v>
      </c>
      <c r="C46" t="str">
        <v>AGITAN 80</v>
      </c>
      <c r="D46" s="1">
        <v>0.002994</v>
      </c>
      <c r="E46" s="2">
        <f>(E$52*D46)</f>
        <v>2.994</v>
      </c>
    </row>
    <row r="47">
      <c r="B47" s="3" t="str">
        <v>TIONA 595</v>
      </c>
      <c r="C47" t="str">
        <v>TIONA 595</v>
      </c>
      <c r="D47" s="1">
        <v>0.10578</v>
      </c>
      <c r="E47" s="2">
        <f>(E$52*D47)</f>
        <v>105.78</v>
      </c>
    </row>
    <row r="48">
      <c r="B48" s="3" t="str">
        <v>PENTAERYTHRITOL</v>
      </c>
      <c r="C48" t="str">
        <v xml:space="preserve"> CHARMOR PM 40</v>
      </c>
      <c r="D48" s="1">
        <v>0.10578</v>
      </c>
      <c r="E48" s="2">
        <f>(E$52*D48)</f>
        <v>105.78</v>
      </c>
    </row>
    <row r="49">
      <c r="B49" s="3" t="str">
        <v>MELAFINE</v>
      </c>
      <c r="C49" t="str">
        <v>MELAFINE</v>
      </c>
      <c r="D49" s="1">
        <v>0.10578</v>
      </c>
      <c r="E49" s="2">
        <f>(E$52*D49)</f>
        <v>105.78</v>
      </c>
    </row>
    <row r="50">
      <c r="B50" s="3" t="str">
        <v>EXOLIT AP435</v>
      </c>
      <c r="C50" s="3" t="str">
        <v>EXOLIT AP435</v>
      </c>
      <c r="D50" s="1">
        <v>0.27445</v>
      </c>
      <c r="E50" s="2">
        <f>(E$52*D50)</f>
        <v>274.45000000000005</v>
      </c>
    </row>
    <row r="51">
      <c r="B51" s="3" t="str">
        <v>MOWILITH DM230</v>
      </c>
      <c r="C51" t="str">
        <v>ENCOR 367</v>
      </c>
      <c r="D51" s="1">
        <v>0.21157</v>
      </c>
      <c r="E51" s="2">
        <f>(E$52*D51)</f>
        <v>211.57000000000002</v>
      </c>
    </row>
    <row r="52">
      <c r="D52" s="1">
        <f>SUM(D42:D51)</f>
        <v>0.999962</v>
      </c>
      <c r="E52">
        <v>1000</v>
      </c>
    </row>
    <row r="53"/>
    <row r="56">
      <c r="A56" t="str">
        <v xml:space="preserve">               22.11.2022-003.1     Fresco INTUMESCENT</v>
      </c>
    </row>
    <row r="57"/>
    <row r="58">
      <c r="A58" t="str">
        <v>הוראות יצור</v>
      </c>
      <c r="B58" t="str">
        <v xml:space="preserve">המלצות </v>
      </c>
      <c r="C58" t="str">
        <v>חומר</v>
      </c>
      <c r="D58" t="str">
        <v>אחוז</v>
      </c>
      <c r="E58" t="str">
        <v>כמות ק''ג</v>
      </c>
    </row>
    <row r="59" ht="14.25" customHeight="1">
      <c r="B59" t="str">
        <v>water</v>
      </c>
      <c r="C59" t="str">
        <v>water</v>
      </c>
      <c r="D59" s="1">
        <v>0.18802</v>
      </c>
      <c r="E59" s="2">
        <f>(E$52*D59)</f>
        <v>188.01999999999998</v>
      </c>
    </row>
    <row r="60" ht="14.25" customHeight="1">
      <c r="B60" t="str">
        <v>OROTAN 1124</v>
      </c>
      <c r="C60" t="str">
        <v>OROTAN 731</v>
      </c>
      <c r="D60" s="1">
        <v>0.00159</v>
      </c>
      <c r="E60" s="2">
        <f>(E$52*D60)</f>
        <v>1.59</v>
      </c>
    </row>
    <row r="61" ht="14.25" customHeight="1">
      <c r="B61" s="3" t="str">
        <v>KELZAN AR</v>
      </c>
      <c r="C61" t="str">
        <v>COMBIZELL</v>
      </c>
      <c r="D61" s="1">
        <v>0.000998</v>
      </c>
      <c r="E61" s="2">
        <f>(E$52*D61)</f>
        <v>0.998</v>
      </c>
    </row>
    <row r="62" ht="14.25" customHeight="1">
      <c r="B62" s="3" t="str">
        <v>-</v>
      </c>
      <c r="C62" t="str">
        <v>RM-825</v>
      </c>
      <c r="D62" s="1">
        <v>0.00299</v>
      </c>
      <c r="E62" s="2">
        <f>(E$52*D62)</f>
        <v>2.99</v>
      </c>
    </row>
    <row r="63">
      <c r="B63" s="3" t="str">
        <v>-</v>
      </c>
      <c r="C63" t="str">
        <v>AGITAN 80</v>
      </c>
      <c r="D63" s="1">
        <v>0.00299</v>
      </c>
      <c r="E63" s="2">
        <f>(E$52*D63)</f>
        <v>2.99</v>
      </c>
    </row>
    <row r="64">
      <c r="B64" s="3" t="str">
        <v>TIONA 595</v>
      </c>
      <c r="C64" t="str">
        <v>TIONA 595</v>
      </c>
      <c r="D64" s="1">
        <v>0.105788</v>
      </c>
      <c r="E64" s="2">
        <f>(E$52*D64)</f>
        <v>105.788</v>
      </c>
    </row>
    <row r="65">
      <c r="B65" s="3" t="str">
        <v>PENTAERYTHRITOL</v>
      </c>
      <c r="C65" t="str">
        <v xml:space="preserve"> CHARMOR PM 40</v>
      </c>
      <c r="D65" s="1">
        <v>0.10578</v>
      </c>
      <c r="E65" s="2">
        <f>(E$52*D65)</f>
        <v>105.78</v>
      </c>
    </row>
    <row r="66">
      <c r="B66" s="3" t="str">
        <v>MELAFINE</v>
      </c>
      <c r="C66" t="str">
        <v>MELAFINE</v>
      </c>
      <c r="D66" s="1">
        <v>0.10578</v>
      </c>
      <c r="E66" s="2">
        <f>(E$52*D66)</f>
        <v>105.78</v>
      </c>
    </row>
    <row r="67">
      <c r="B67" s="3" t="str">
        <v>EXOLIT AP435</v>
      </c>
      <c r="C67" s="3" t="str">
        <v>EXOLIT AP435</v>
      </c>
      <c r="D67" s="1">
        <v>0.27445</v>
      </c>
      <c r="E67" s="2">
        <f>(E$52*D67)</f>
        <v>274.45000000000005</v>
      </c>
    </row>
    <row r="68">
      <c r="B68" s="3" t="str">
        <v>MOWILITH DM230</v>
      </c>
      <c r="C68" t="str">
        <v>ENCOR 367</v>
      </c>
      <c r="D68" s="1">
        <v>0.21157</v>
      </c>
      <c r="E68" s="2">
        <f>(E$52*D68)</f>
        <v>211.57000000000002</v>
      </c>
    </row>
    <row r="69">
      <c r="D69" s="1">
        <f>SUM(D59:D68)</f>
        <v>0.9999560000000001</v>
      </c>
      <c r="E69">
        <v>1000</v>
      </c>
    </row>
    <row r="75">
      <c r="A75" t="str">
        <v xml:space="preserve">               22.11.2022-003.2     Fresco INTUMESCENT</v>
      </c>
    </row>
    <row r="76"/>
    <row r="77">
      <c r="A77" t="str">
        <v>הוראות יצור</v>
      </c>
      <c r="B77" t="str">
        <v xml:space="preserve">המלצות </v>
      </c>
      <c r="C77" t="str">
        <v>חומר</v>
      </c>
      <c r="D77" t="str">
        <v>אחוז</v>
      </c>
      <c r="E77" t="str">
        <v>כמות ק''ג</v>
      </c>
    </row>
    <row r="78">
      <c r="B78" t="str">
        <v>water</v>
      </c>
      <c r="C78" t="str">
        <v>water</v>
      </c>
      <c r="D78" s="1">
        <v>0.18802</v>
      </c>
      <c r="E78" s="2">
        <f>(E$52*D78)</f>
        <v>188.01999999999998</v>
      </c>
    </row>
    <row r="79">
      <c r="B79" t="str">
        <v>OROTAN 1124</v>
      </c>
      <c r="C79" t="str">
        <v>OROTAN 731</v>
      </c>
      <c r="D79" s="1">
        <v>0.001597</v>
      </c>
      <c r="E79" s="2">
        <f>(E$52*D79)</f>
        <v>1.597</v>
      </c>
    </row>
    <row r="80">
      <c r="B80" s="3" t="str">
        <v>KELZAN AR</v>
      </c>
      <c r="C80" t="str">
        <v>COMBIZELL</v>
      </c>
      <c r="D80" s="1">
        <v>0.000998</v>
      </c>
      <c r="E80" s="2">
        <f>(E$52*D80)</f>
        <v>0.998</v>
      </c>
    </row>
    <row r="81">
      <c r="B81" s="3" t="str">
        <v>-</v>
      </c>
      <c r="C81" t="str">
        <v>RM-825</v>
      </c>
      <c r="D81" s="1">
        <v>0.002994</v>
      </c>
      <c r="E81" s="2">
        <f>(E$52*D81)</f>
        <v>2.994</v>
      </c>
    </row>
    <row r="82">
      <c r="B82" s="3" t="str">
        <v>-</v>
      </c>
      <c r="C82" t="str">
        <v>AGITAN 80</v>
      </c>
      <c r="D82" s="1">
        <v>0.002994</v>
      </c>
      <c r="E82" s="2">
        <f>(E$52*D82)</f>
        <v>2.994</v>
      </c>
    </row>
    <row r="83">
      <c r="B83" s="3" t="str">
        <v>TIONA 595</v>
      </c>
      <c r="C83" t="str">
        <v>TIONA 595</v>
      </c>
      <c r="D83" s="1">
        <v>0.10579</v>
      </c>
      <c r="E83" s="2">
        <f>(E$52*D83)</f>
        <v>105.78999999999999</v>
      </c>
    </row>
    <row r="84">
      <c r="B84" s="3" t="str">
        <v>PENTAERYTHRITOL</v>
      </c>
      <c r="C84" t="str">
        <v xml:space="preserve"> CHARMOR PM 40</v>
      </c>
      <c r="D84" s="1">
        <v>0.10579</v>
      </c>
      <c r="E84" s="2">
        <f>(E$52*D84)</f>
        <v>105.78999999999999</v>
      </c>
    </row>
    <row r="85">
      <c r="B85" s="3" t="str">
        <v>MELAFINE</v>
      </c>
      <c r="C85" t="str">
        <v>MELAFINE</v>
      </c>
      <c r="D85" s="1">
        <v>0.10579</v>
      </c>
      <c r="E85" s="2">
        <f>(E$52*D85)</f>
        <v>105.78999999999999</v>
      </c>
    </row>
    <row r="86">
      <c r="B86" s="3" t="str">
        <v>EXOLIT AP435</v>
      </c>
      <c r="C86" s="3" t="str">
        <v>EXOLIT AP435</v>
      </c>
      <c r="D86" s="1">
        <v>0.27445</v>
      </c>
      <c r="E86" s="2">
        <f>(E$52*D86)</f>
        <v>274.45000000000005</v>
      </c>
    </row>
    <row r="87">
      <c r="B87" s="3" t="str">
        <v>MOWILITH DM230</v>
      </c>
      <c r="C87" t="str">
        <v>ENCOR 367</v>
      </c>
      <c r="D87" s="1">
        <v>0.21158</v>
      </c>
      <c r="E87" s="2">
        <f>(E$52*D87)</f>
        <v>211.57999999999998</v>
      </c>
    </row>
    <row r="88">
      <c r="D88" s="1">
        <f>SUM(D78:D87)</f>
        <v>1.000003</v>
      </c>
      <c r="E88">
        <v>1000</v>
      </c>
    </row>
    <row r="94">
      <c r="A94" t="str">
        <v xml:space="preserve">              23.11.2022-003.3     Fresco INTUMESCENT</v>
      </c>
    </row>
    <row r="95"/>
    <row r="96">
      <c r="A96" t="str">
        <v>הוראות יצור</v>
      </c>
      <c r="B96" t="str">
        <v xml:space="preserve">המלצות </v>
      </c>
      <c r="C96" t="str">
        <v>חומר</v>
      </c>
      <c r="D96" t="str">
        <v>אחוז</v>
      </c>
      <c r="E96" t="str">
        <v>כמות ק''ג</v>
      </c>
    </row>
    <row r="97" ht="14.25" customHeight="1">
      <c r="A97" t="str">
        <v>5 min 500 rpm</v>
      </c>
      <c r="B97" t="str">
        <v>water</v>
      </c>
      <c r="C97" t="str">
        <v>water</v>
      </c>
      <c r="D97" s="1">
        <v>0.18802</v>
      </c>
      <c r="E97" s="2">
        <f>(E$52*D97)</f>
        <v>188.01999999999998</v>
      </c>
    </row>
    <row r="98" ht="14.25" customHeight="1">
      <c r="B98" t="str">
        <v>OROTAN 1124</v>
      </c>
      <c r="C98" t="str">
        <v>OROTAN 731</v>
      </c>
      <c r="D98" s="1">
        <v>0.00159</v>
      </c>
      <c r="E98" s="2">
        <f>(E$52*D98)</f>
        <v>1.59</v>
      </c>
    </row>
    <row r="99" ht="14.25" customHeight="1">
      <c r="A99" t="str">
        <v>20 min 1500 rpm</v>
      </c>
      <c r="B99" s="3" t="str">
        <v>KELZAN AR</v>
      </c>
      <c r="C99" t="str">
        <v>COMBIZELL</v>
      </c>
      <c r="D99" s="1">
        <v>0.000988</v>
      </c>
      <c r="E99" s="2">
        <f>(E$52*D99)</f>
        <v>0.988</v>
      </c>
    </row>
    <row r="100" ht="14.25" customHeight="1">
      <c r="B100" s="3" t="str">
        <v>-</v>
      </c>
      <c r="C100" t="str">
        <v>RM-825</v>
      </c>
      <c r="D100" s="1">
        <v>0.002994</v>
      </c>
      <c r="E100" s="2">
        <f>(E$52*D100)</f>
        <v>2.994</v>
      </c>
    </row>
    <row r="101">
      <c r="B101" s="3" t="str">
        <v>-</v>
      </c>
      <c r="C101" t="str">
        <v>AGITAN 80</v>
      </c>
      <c r="D101" s="1">
        <v>0.002994</v>
      </c>
      <c r="E101" s="2">
        <f>(E$52*D101)</f>
        <v>2.994</v>
      </c>
    </row>
    <row r="102">
      <c r="A102" t="str">
        <v>20 min 1500 rpm</v>
      </c>
      <c r="B102" s="3" t="str">
        <v>TIONA 595</v>
      </c>
      <c r="C102" t="str">
        <v>TIONA 595</v>
      </c>
      <c r="D102" s="1">
        <v>0.10578</v>
      </c>
      <c r="E102" s="2">
        <f>(E$52*D102)</f>
        <v>105.78</v>
      </c>
    </row>
    <row r="103">
      <c r="B103" s="3" t="str">
        <v>PENTAERYTHRITOL</v>
      </c>
      <c r="C103" t="str">
        <v xml:space="preserve"> CHARMOR PM 40</v>
      </c>
      <c r="D103" s="1">
        <v>0.10578</v>
      </c>
      <c r="E103" s="2">
        <f>(E$52*D103)</f>
        <v>105.78</v>
      </c>
    </row>
    <row r="104">
      <c r="B104" s="3" t="str">
        <v>MELAFINE</v>
      </c>
      <c r="C104" t="str">
        <v>MELAFINE</v>
      </c>
      <c r="D104" s="1">
        <v>0.10578</v>
      </c>
      <c r="E104" s="2">
        <f>(E$52*D104)</f>
        <v>105.78</v>
      </c>
    </row>
    <row r="105">
      <c r="B105" s="3" t="str">
        <v>EXOLIT AP435</v>
      </c>
      <c r="C105" s="3" t="str">
        <v>EXOLIT AP435</v>
      </c>
      <c r="D105" s="1">
        <v>0.27455</v>
      </c>
      <c r="E105" s="2">
        <f>(E$52*D105)</f>
        <v>274.55</v>
      </c>
    </row>
    <row r="106">
      <c r="B106" s="3" t="str">
        <v>MOWILITH DM230</v>
      </c>
      <c r="C106" t="str">
        <v>ENCOR 367</v>
      </c>
      <c r="D106" s="1">
        <v>0.21157</v>
      </c>
      <c r="E106" s="2">
        <f>(E$52*D106)</f>
        <v>211.57000000000002</v>
      </c>
    </row>
    <row r="107">
      <c r="D107" s="1">
        <f>SUM(D97:D106)</f>
        <v>1.000046</v>
      </c>
      <c r="E107">
        <v>1000</v>
      </c>
    </row>
    <row r="110">
      <c r="A110" t="str">
        <v xml:space="preserve">               16.11.2022-004     Fresco INTUMESCENT</v>
      </c>
    </row>
    <row r="111"/>
    <row r="112">
      <c r="A112" t="str">
        <v>הוראות יצור</v>
      </c>
      <c r="B112" t="str">
        <v xml:space="preserve">המלצות </v>
      </c>
      <c r="C112" t="str">
        <v>חומר</v>
      </c>
      <c r="D112" t="str">
        <v>אחוז</v>
      </c>
      <c r="E112" t="str">
        <v>כמות ק''ג</v>
      </c>
    </row>
    <row r="113" ht="14.25" customHeight="1">
      <c r="A113" t="str">
        <v>30 min HIGH SHEAR</v>
      </c>
      <c r="B113" t="str">
        <v>water</v>
      </c>
      <c r="C113" t="str">
        <v>water</v>
      </c>
      <c r="D113" s="1">
        <v>0.18802</v>
      </c>
      <c r="E113" s="2">
        <f>(E$123*D113)</f>
        <v>188.01999999999998</v>
      </c>
    </row>
    <row r="114" ht="14.25" customHeight="1">
      <c r="B114" t="str">
        <v>OROTAN 1124</v>
      </c>
      <c r="C114" t="str">
        <v>OROTAN 731</v>
      </c>
      <c r="D114" s="1">
        <v>0.00159</v>
      </c>
      <c r="E114" s="2">
        <f>(E$123*D114)</f>
        <v>1.59</v>
      </c>
    </row>
    <row r="115" ht="14.25" customHeight="1">
      <c r="B115" s="3" t="str">
        <v>KELZAN AR</v>
      </c>
      <c r="C115" t="str">
        <v>COMBIZELL</v>
      </c>
      <c r="D115" s="1">
        <v>0.00099</v>
      </c>
      <c r="E115" s="2">
        <f>(E$123*D115)</f>
        <v>0.99</v>
      </c>
    </row>
    <row r="116" ht="15" customHeight="1">
      <c r="B116" s="3" t="str">
        <v>-</v>
      </c>
      <c r="C116" t="str">
        <v>RM-825</v>
      </c>
      <c r="D116" s="1">
        <v>0.002994</v>
      </c>
      <c r="E116" s="2">
        <f>(E$123*D116)</f>
        <v>2.994</v>
      </c>
    </row>
    <row r="117">
      <c r="A117" t="str">
        <v>Add until total homogenisation with high shear mixer</v>
      </c>
      <c r="B117" s="3" t="str">
        <v>TIONA 595</v>
      </c>
      <c r="C117" t="str">
        <v>TIONA 595</v>
      </c>
      <c r="D117" s="1">
        <v>0.105788</v>
      </c>
      <c r="E117" s="2">
        <f>(E$123*D117)</f>
        <v>105.788</v>
      </c>
    </row>
    <row r="118">
      <c r="B118" s="3" t="str">
        <v>-</v>
      </c>
      <c r="C118" t="str">
        <v>AGITAN 80</v>
      </c>
      <c r="D118" s="1">
        <v>0.00299</v>
      </c>
      <c r="E118" s="2">
        <f>(E$123*D118)</f>
        <v>2.99</v>
      </c>
    </row>
    <row r="119">
      <c r="A119" t="str">
        <v>1300 rpm</v>
      </c>
      <c r="B119" s="3" t="str">
        <v>PENTAERYTHRITOL</v>
      </c>
      <c r="C119" t="str">
        <v xml:space="preserve"> CHARMOR PM 40</v>
      </c>
      <c r="D119" s="1">
        <v>0.105788</v>
      </c>
      <c r="E119" s="2">
        <f>(E$123*D119)</f>
        <v>105.788</v>
      </c>
    </row>
    <row r="120">
      <c r="A120" t="str">
        <v>1300 rpm</v>
      </c>
      <c r="B120" s="3" t="str">
        <v>MELAFINE</v>
      </c>
      <c r="C120" t="str">
        <v>MELAFINE</v>
      </c>
      <c r="D120" s="1">
        <v>0.105788</v>
      </c>
      <c r="E120" s="2">
        <f>(E$123*D120)</f>
        <v>105.788</v>
      </c>
    </row>
    <row r="121">
      <c r="A121" t="str">
        <v>1300 rpm</v>
      </c>
      <c r="B121" s="3" t="str">
        <v>EXOLIT AP435</v>
      </c>
      <c r="C121" s="3" t="str">
        <v>EXOLIT AP435</v>
      </c>
      <c r="D121" s="1">
        <v>0.27445</v>
      </c>
      <c r="E121" s="2">
        <f>(E$123*D121)</f>
        <v>274.45000000000005</v>
      </c>
    </row>
    <row r="122">
      <c r="A122" t="str">
        <v>800 rpm</v>
      </c>
      <c r="B122" s="3" t="str">
        <v>MOWILITH DM230</v>
      </c>
      <c r="C122" t="str">
        <v>MOWILITH LDM 2310</v>
      </c>
      <c r="D122" s="1">
        <v>0.21157</v>
      </c>
      <c r="E122" s="2">
        <f>(E$123*D122)</f>
        <v>211.57000000000002</v>
      </c>
    </row>
    <row r="123">
      <c r="D123" s="1">
        <f>SUM(D113:D122)</f>
        <v>0.999968</v>
      </c>
      <c r="E123">
        <v>1000</v>
      </c>
    </row>
    <row r="124"/>
    <row r="130">
      <c r="A130" t="str">
        <v xml:space="preserve">               11.12.2022-005      Fresco INTUMESCENT</v>
      </c>
    </row>
    <row r="131">
      <c r="A131" t="str">
        <v>מבוסס על מרשם 002 - עם טקסנול וביוציד</v>
      </c>
    </row>
    <row r="132">
      <c r="A132" t="str">
        <v>הוראות יצור</v>
      </c>
      <c r="B132" t="str">
        <v xml:space="preserve">המלצות </v>
      </c>
      <c r="C132" t="str">
        <v>חומר</v>
      </c>
      <c r="D132" t="str">
        <v>אחוז</v>
      </c>
      <c r="E132" t="str">
        <v>כמות ק''ג</v>
      </c>
    </row>
    <row r="133">
      <c r="A133" t="str">
        <v>30 min HIGH SHEAR</v>
      </c>
      <c r="B133" t="str">
        <v>water</v>
      </c>
      <c r="C133" t="str">
        <v>water</v>
      </c>
      <c r="D133" s="1">
        <v>0.1748</v>
      </c>
      <c r="E133" s="2">
        <f>(E$144*D133)</f>
        <v>174.8</v>
      </c>
    </row>
    <row r="134">
      <c r="B134" t="str">
        <v>OROTAN 1124</v>
      </c>
      <c r="C134" t="str">
        <v>OROTAN 731</v>
      </c>
      <c r="D134" s="1">
        <v>0.0016</v>
      </c>
      <c r="E134" s="2">
        <f>(E$144*D134)</f>
        <v>1.6</v>
      </c>
    </row>
    <row r="135">
      <c r="B135" s="3" t="str">
        <v>KELZAN AR</v>
      </c>
      <c r="C135" t="str">
        <v>XANTHAN</v>
      </c>
      <c r="D135" s="1">
        <v>0.002</v>
      </c>
      <c r="E135" s="2">
        <f>(E$144*D135)</f>
        <v>2</v>
      </c>
    </row>
    <row r="136">
      <c r="B136" s="3" t="str">
        <v>-</v>
      </c>
      <c r="C136" t="str">
        <v>AGITAN 80</v>
      </c>
      <c r="D136" s="1">
        <v>0.003</v>
      </c>
      <c r="E136" s="2">
        <f>(E$144*D136)</f>
        <v>3</v>
      </c>
    </row>
    <row r="137">
      <c r="A137" t="str">
        <v>Add until total homogenisation with high shear mixer</v>
      </c>
      <c r="B137" s="3" t="str">
        <v>TIONA 595</v>
      </c>
      <c r="C137" t="str">
        <v>TIONA 826</v>
      </c>
      <c r="D137" s="1">
        <v>0.106</v>
      </c>
      <c r="E137" s="2">
        <f>(E$144*D137)</f>
        <v>106</v>
      </c>
    </row>
    <row r="138">
      <c r="A138" t="str">
        <v>Add until total homogenisation with high shear mixer</v>
      </c>
      <c r="B138" s="3" t="str">
        <v>PENTAERYTHRITOL</v>
      </c>
      <c r="C138" t="str">
        <v xml:space="preserve"> CHARMOR PM 40</v>
      </c>
      <c r="D138" s="1">
        <v>0.106</v>
      </c>
      <c r="E138" s="2">
        <f>(E$144*D138)</f>
        <v>106</v>
      </c>
    </row>
    <row r="139">
      <c r="A139" t="str">
        <v>Add until total homogenisation with high shear mixer</v>
      </c>
      <c r="B139" s="3" t="str">
        <v>MELAFINE</v>
      </c>
      <c r="C139" t="str">
        <v>MELAFINE</v>
      </c>
      <c r="D139" s="1">
        <v>0.106</v>
      </c>
      <c r="E139" s="2">
        <f>(E$144*D139)</f>
        <v>106</v>
      </c>
    </row>
    <row r="140">
      <c r="A140" t="str">
        <v>Add until total homogenisation with high shear mixer</v>
      </c>
      <c r="B140" s="3" t="str">
        <v>EXOLIT AP435</v>
      </c>
      <c r="C140" s="3" t="str">
        <v>EXOLIT AP435</v>
      </c>
      <c r="D140" s="1">
        <v>0.275</v>
      </c>
      <c r="E140" s="2">
        <f>(E$144*D140)</f>
        <v>275</v>
      </c>
    </row>
    <row r="141">
      <c r="A141" t="str">
        <v>Add until total homogenisation with a reduced shear rate</v>
      </c>
      <c r="B141" s="3" t="str">
        <v>MOWILITH DM230</v>
      </c>
      <c r="C141" s="3" t="str">
        <v>ENCOR 367</v>
      </c>
      <c r="D141" s="1">
        <v>0.212</v>
      </c>
      <c r="E141" s="2">
        <f>(E$144*D141)</f>
        <v>212</v>
      </c>
    </row>
    <row r="142">
      <c r="C142" s="3" t="str">
        <v>Texanol</v>
      </c>
      <c r="D142" s="1">
        <v>0.0116</v>
      </c>
      <c r="E142" s="2">
        <f>(E$144*D142)</f>
        <v>11.6</v>
      </c>
    </row>
    <row r="143">
      <c r="A143" t="str">
        <v>Add until total homogenisation with a reduced shear rate</v>
      </c>
      <c r="C143" t="str">
        <v>VINKOCID CMIF</v>
      </c>
      <c r="D143" s="1">
        <v>0.002</v>
      </c>
      <c r="E143" s="2">
        <f>(E$144*D143)</f>
        <v>2</v>
      </c>
    </row>
    <row r="144">
      <c r="D144" s="1">
        <f>SUM(D133:D143)</f>
        <v>1</v>
      </c>
      <c r="E144" s="2">
        <v>1000</v>
      </c>
    </row>
    <row r="145"/>
    <row r="150">
      <c r="A150" t="str">
        <v xml:space="preserve">               11.12.2022-006      Fresco INTUMESCENT</v>
      </c>
    </row>
    <row r="151">
      <c r="A151" t="str">
        <v>מבוסס על מרשם 002 - עם טקסנול וביוציד וטיטן BLR 895</v>
      </c>
    </row>
    <row r="152">
      <c r="A152" t="str">
        <v>הוראות יצור</v>
      </c>
      <c r="B152" t="str">
        <v xml:space="preserve">המלצות </v>
      </c>
      <c r="C152" t="str">
        <v>חומר</v>
      </c>
      <c r="D152" t="str">
        <v>אחוז</v>
      </c>
      <c r="E152" t="str">
        <v>כמות ק''ג</v>
      </c>
    </row>
    <row r="153">
      <c r="A153" t="str">
        <v>30 min HIGH SHEAR</v>
      </c>
      <c r="B153" t="str">
        <v>water</v>
      </c>
      <c r="C153" t="str">
        <v>water</v>
      </c>
      <c r="D153" s="1">
        <v>0.1748</v>
      </c>
      <c r="E153" s="2">
        <f>(E$13*D153)</f>
        <v>174.8</v>
      </c>
    </row>
    <row r="154">
      <c r="B154" t="str">
        <v>OROTAN 1124</v>
      </c>
      <c r="C154" t="str">
        <v>OROTAN 731</v>
      </c>
      <c r="D154" s="1">
        <v>0.0016</v>
      </c>
      <c r="E154" s="2">
        <f>(E$13*D154)</f>
        <v>1.6</v>
      </c>
    </row>
    <row r="155">
      <c r="B155" s="3" t="str">
        <v>KELZAN AR</v>
      </c>
      <c r="C155" t="str">
        <v>XANTHAN</v>
      </c>
      <c r="D155" s="1">
        <v>0.002</v>
      </c>
      <c r="E155" s="2">
        <f>(E$13*D155)</f>
        <v>2</v>
      </c>
    </row>
    <row r="156">
      <c r="B156" s="3" t="str">
        <v>-</v>
      </c>
      <c r="C156" t="str">
        <v>AGITAN 80</v>
      </c>
      <c r="D156" s="1">
        <v>0.003</v>
      </c>
      <c r="E156" s="2">
        <f>(E$13*D156)</f>
        <v>3</v>
      </c>
    </row>
    <row r="157">
      <c r="A157" t="str">
        <v>Add until total homogenisation with high shear mixer</v>
      </c>
      <c r="B157" s="3" t="str">
        <v>TIONA 595</v>
      </c>
      <c r="C157" t="str">
        <v>BLR 895</v>
      </c>
      <c r="D157" s="1">
        <v>0.106</v>
      </c>
      <c r="E157" s="2">
        <f>(E$13*D157)</f>
        <v>106</v>
      </c>
    </row>
    <row r="158">
      <c r="A158" t="str">
        <v>Add until total homogenisation with high shear mixer</v>
      </c>
      <c r="B158" s="3" t="str">
        <v>PENTAERYTHRITOL</v>
      </c>
      <c r="C158" t="str">
        <v xml:space="preserve"> CHARMOR PM 40</v>
      </c>
      <c r="D158" s="1">
        <v>0.106</v>
      </c>
      <c r="E158" s="2">
        <f>(E$13*D158)</f>
        <v>106</v>
      </c>
    </row>
    <row r="159">
      <c r="A159" t="str">
        <v>Add until total homogenisation with high shear mixer</v>
      </c>
      <c r="B159" s="3" t="str">
        <v>MELAFINE</v>
      </c>
      <c r="C159" t="str">
        <v>MELAFINE</v>
      </c>
      <c r="D159" s="1">
        <v>0.106</v>
      </c>
      <c r="E159" s="2">
        <f>(E$13*D159)</f>
        <v>106</v>
      </c>
    </row>
    <row r="160">
      <c r="A160" t="str">
        <v>Add until total homogenisation with high shear mixer</v>
      </c>
      <c r="B160" s="3" t="str">
        <v>EXOLIT AP435</v>
      </c>
      <c r="C160" s="3" t="str">
        <v>EXOLIT AP435</v>
      </c>
      <c r="D160" s="1">
        <v>0.275</v>
      </c>
      <c r="E160" s="2">
        <f>(E$13*D160)</f>
        <v>275</v>
      </c>
    </row>
    <row r="161">
      <c r="A161" t="str">
        <v>Add until total homogenisation with a reduced shear rate</v>
      </c>
      <c r="B161" s="3" t="str">
        <v>MOWILITH DM230</v>
      </c>
      <c r="C161" s="3" t="str">
        <v>ENCOR 367</v>
      </c>
      <c r="D161" s="1">
        <v>0.212</v>
      </c>
      <c r="E161" s="2">
        <f>(E$13*D161)</f>
        <v>212</v>
      </c>
    </row>
    <row r="162">
      <c r="C162" s="3" t="str">
        <v>Texanol</v>
      </c>
      <c r="D162" s="1">
        <v>0.0116</v>
      </c>
      <c r="E162" s="2">
        <f>(E$13*D162)</f>
        <v>11.6</v>
      </c>
    </row>
    <row r="163">
      <c r="A163" t="str">
        <v>Add until total homogenisation with a reduced shear rate</v>
      </c>
      <c r="C163" t="str">
        <v>VINKOCID CMIF</v>
      </c>
      <c r="D163" s="1">
        <v>0.002</v>
      </c>
      <c r="E163" s="2">
        <f>(E$13*D163)</f>
        <v>2</v>
      </c>
    </row>
    <row r="164">
      <c r="D164" s="1">
        <f>SUM(D153:D163)</f>
        <v>1</v>
      </c>
      <c r="E164" s="2">
        <f>SUM(E153:E163)</f>
        <v>1000</v>
      </c>
    </row>
    <row r="168">
      <c r="A168" t="str">
        <v xml:space="preserve">               11.12.2022-007      Fresco INTUMESCENT</v>
      </c>
    </row>
    <row r="169">
      <c r="A169" t="str">
        <v>מבוסס על מרשם 005 - עם החלפת מסמיכים</v>
      </c>
    </row>
    <row r="170">
      <c r="A170" t="str">
        <v>הוראות יצור</v>
      </c>
      <c r="B170" t="str">
        <v xml:space="preserve">המלצות </v>
      </c>
      <c r="C170" t="str">
        <v>חומר</v>
      </c>
      <c r="D170" t="str">
        <v>אחוז</v>
      </c>
      <c r="E170" t="str">
        <v>כמות ק''ג</v>
      </c>
    </row>
    <row r="171">
      <c r="A171" t="str">
        <v>30 min HIGH SHEAR</v>
      </c>
      <c r="B171" t="str">
        <v>water</v>
      </c>
      <c r="C171" t="str">
        <v>water</v>
      </c>
      <c r="D171" s="1">
        <v>0.1733</v>
      </c>
      <c r="E171" s="2">
        <f>(E$183*D171)</f>
        <v>173.3</v>
      </c>
    </row>
    <row r="172">
      <c r="B172" t="str">
        <v>OROTAN 1124</v>
      </c>
      <c r="C172" t="str">
        <v>OROTAN 731</v>
      </c>
      <c r="D172" s="1">
        <v>0.0016</v>
      </c>
      <c r="E172" s="2">
        <f>(E$183*D172)</f>
        <v>1.6</v>
      </c>
    </row>
    <row r="173">
      <c r="C173" t="str">
        <v>Biocide CMIF</v>
      </c>
      <c r="D173" s="1">
        <v>0.002</v>
      </c>
      <c r="E173" s="2">
        <f>(E$183*D173)</f>
        <v>2</v>
      </c>
    </row>
    <row r="174">
      <c r="C174" t="str">
        <v>COMBIZELL</v>
      </c>
      <c r="D174" s="1">
        <v>0.001</v>
      </c>
      <c r="E174" s="2">
        <f>(E$183*D174)</f>
        <v>1</v>
      </c>
    </row>
    <row r="175">
      <c r="C175" t="str">
        <v>RM-825</v>
      </c>
      <c r="D175" s="1">
        <v>0.0025</v>
      </c>
      <c r="E175" s="2">
        <f>(E$183*D175)</f>
        <v>2.5</v>
      </c>
    </row>
    <row r="176">
      <c r="A176" t="str">
        <v>Add until total homogenisation with high shear mixer</v>
      </c>
      <c r="B176" s="3" t="str">
        <v>-</v>
      </c>
      <c r="C176" t="str">
        <v>AGITAN 80</v>
      </c>
      <c r="D176" s="1">
        <v>0.003</v>
      </c>
      <c r="E176" s="2">
        <f>(E$183*D176)</f>
        <v>3</v>
      </c>
    </row>
    <row r="177">
      <c r="A177" t="str">
        <v>Add until total homogenisation with high shear mixer</v>
      </c>
      <c r="B177" s="3" t="str">
        <v>TIONA 595</v>
      </c>
      <c r="C177" t="str">
        <v>TIONA 826</v>
      </c>
      <c r="D177" s="1">
        <v>0.106</v>
      </c>
      <c r="E177" s="2">
        <f>(E$183*D177)</f>
        <v>106</v>
      </c>
    </row>
    <row r="178">
      <c r="A178" t="str">
        <v>Add until total homogenisation with high shear mixer</v>
      </c>
      <c r="B178" s="3" t="str">
        <v>PENTAERYTHRITOL</v>
      </c>
      <c r="C178" t="str">
        <v xml:space="preserve"> CHARMOR PM 40</v>
      </c>
      <c r="D178" s="1">
        <v>0.106</v>
      </c>
      <c r="E178" s="2">
        <f>(E$183*D178)</f>
        <v>106</v>
      </c>
    </row>
    <row r="179">
      <c r="A179" t="str">
        <v>Add until total homogenisation with high shear mixer</v>
      </c>
      <c r="B179" s="3" t="str">
        <v>MELAFINE</v>
      </c>
      <c r="C179" t="str">
        <v>MELAFINE</v>
      </c>
      <c r="D179" s="1">
        <v>0.106</v>
      </c>
      <c r="E179" s="2">
        <f>(E$183*D179)</f>
        <v>106</v>
      </c>
    </row>
    <row r="180">
      <c r="A180" t="str">
        <v>Add until total homogenisation with a reduced shear rate</v>
      </c>
      <c r="C180" s="3" t="str">
        <v>Texanol</v>
      </c>
      <c r="D180" s="1">
        <v>0.0116</v>
      </c>
      <c r="E180" s="2">
        <f>(E$183*D180)</f>
        <v>11.6</v>
      </c>
    </row>
    <row r="181">
      <c r="B181" s="3" t="str">
        <v>EXOLIT AP435</v>
      </c>
      <c r="C181" s="3" t="str">
        <v>EXOLIT AP435</v>
      </c>
      <c r="D181" s="1">
        <v>0.275</v>
      </c>
      <c r="E181" s="2">
        <f>(E$183*D181)</f>
        <v>275</v>
      </c>
    </row>
    <row r="182">
      <c r="A182" t="str">
        <v>Add until total homogenisation with a reduced shear rate</v>
      </c>
      <c r="B182" s="3" t="str">
        <v>MOWILITH DM230</v>
      </c>
      <c r="C182" s="3" t="str">
        <v>ENCOR 367</v>
      </c>
      <c r="D182" s="1">
        <v>0.212</v>
      </c>
      <c r="E182" s="2">
        <f>(E$183*D182)</f>
        <v>212</v>
      </c>
    </row>
    <row r="183">
      <c r="D183" s="1">
        <f>SUM(D171:D182)</f>
        <v>0.9999999999999999</v>
      </c>
      <c r="E183" s="2">
        <v>1000</v>
      </c>
    </row>
    <row r="184"/>
    <row r="190">
      <c r="A190" t="str">
        <v xml:space="preserve">               22.12.2022-008      Fresco INTUMESCENT</v>
      </c>
    </row>
    <row r="191">
      <c r="A191" t="str">
        <v>מבוסס על מרשם 007 - עם החלפת מסמיכים</v>
      </c>
    </row>
    <row r="192">
      <c r="A192" t="str">
        <v>הוראות יצור</v>
      </c>
      <c r="B192" t="str">
        <v xml:space="preserve">המלצות </v>
      </c>
      <c r="C192" t="str">
        <v>חומר</v>
      </c>
      <c r="D192" t="str">
        <v>אחוז</v>
      </c>
      <c r="E192" t="str">
        <v>כמות ק''ג</v>
      </c>
    </row>
    <row r="193">
      <c r="A193" t="str">
        <v>30 min HIGH SHEAR</v>
      </c>
      <c r="B193" t="str">
        <v>water</v>
      </c>
      <c r="C193" t="str">
        <v>water</v>
      </c>
      <c r="D193" s="1">
        <v>0.1733</v>
      </c>
      <c r="E193" s="2">
        <f>(E$205*D193)</f>
        <v>346.6</v>
      </c>
    </row>
    <row r="194">
      <c r="B194" t="str">
        <v>OROTAN 1124</v>
      </c>
      <c r="C194" t="str">
        <v>OROTAN 731</v>
      </c>
      <c r="D194" s="1">
        <v>0.0016</v>
      </c>
      <c r="E194" s="2">
        <f>(E$205*D194)</f>
        <v>3.2</v>
      </c>
    </row>
    <row r="195">
      <c r="C195" t="str">
        <v>Biocide CMIF</v>
      </c>
      <c r="D195" s="1">
        <v>0.002</v>
      </c>
      <c r="E195" s="2">
        <f>(E$205*D195)</f>
        <v>4</v>
      </c>
    </row>
    <row r="196">
      <c r="C196" t="str">
        <v>COMBIZELL</v>
      </c>
      <c r="D196" s="1">
        <v>0.001</v>
      </c>
      <c r="E196" s="2">
        <f>(E$205*D196)</f>
        <v>2</v>
      </c>
    </row>
    <row r="197">
      <c r="C197" t="str">
        <v>RM-825</v>
      </c>
      <c r="D197" s="1">
        <v>0.0025</v>
      </c>
      <c r="E197" s="2">
        <f>(E$205*D197)</f>
        <v>5</v>
      </c>
    </row>
    <row r="198">
      <c r="A198" t="str">
        <v>Add until total homogenisation with high shear mixer</v>
      </c>
      <c r="B198" s="3" t="str">
        <v>-</v>
      </c>
      <c r="C198" t="str">
        <v>AGITAN 80</v>
      </c>
      <c r="D198" s="1">
        <v>0.003</v>
      </c>
      <c r="E198" s="2">
        <f>(E$205*D198)</f>
        <v>6</v>
      </c>
    </row>
    <row r="199">
      <c r="A199" t="str">
        <v>Add until total homogenisation with high shear mixer</v>
      </c>
      <c r="B199" s="3" t="str">
        <v>TIONA 595</v>
      </c>
      <c r="C199" t="str">
        <v>TIONA 826</v>
      </c>
      <c r="D199" s="1">
        <v>0.106</v>
      </c>
      <c r="E199" s="2">
        <f>(E$205*D199)</f>
        <v>212</v>
      </c>
    </row>
    <row r="200">
      <c r="A200" t="str">
        <v>Add until total homogenisation with high shear mixer</v>
      </c>
      <c r="B200" s="3" t="str">
        <v>PENTAERYTHRITOL</v>
      </c>
      <c r="C200" t="str">
        <v xml:space="preserve"> CHARMOR PM 40</v>
      </c>
      <c r="D200" s="1">
        <v>0.106</v>
      </c>
      <c r="E200" s="2">
        <f>(E$205*D200)</f>
        <v>212</v>
      </c>
    </row>
    <row r="201">
      <c r="A201" t="str">
        <v>Add until total homogenisation with high shear mixer</v>
      </c>
      <c r="B201" s="3" t="str">
        <v>MELAFINE</v>
      </c>
      <c r="C201" t="str">
        <v>MELAFINE</v>
      </c>
      <c r="D201" s="1">
        <v>0.106</v>
      </c>
      <c r="E201" s="2">
        <f>(E$205*D201)</f>
        <v>212</v>
      </c>
    </row>
    <row r="202">
      <c r="A202" t="str">
        <v>Add until total homogenisation with a reduced shear rate</v>
      </c>
      <c r="C202" s="3" t="str">
        <v>Texanol</v>
      </c>
      <c r="D202" s="1">
        <v>0.0116</v>
      </c>
      <c r="E202" s="2">
        <f>(E$205*D202)</f>
        <v>23.2</v>
      </c>
    </row>
    <row r="203">
      <c r="B203" s="3" t="str">
        <v>EXOLIT AP435</v>
      </c>
      <c r="C203" s="3" t="str">
        <v>EXOLIT AP435</v>
      </c>
      <c r="D203" s="1">
        <v>0.275</v>
      </c>
      <c r="E203" s="2">
        <f>(E$205*D203)</f>
        <v>550</v>
      </c>
    </row>
    <row r="204">
      <c r="A204" t="str">
        <v>Add until total homogenisation with a reduced shear rate</v>
      </c>
      <c r="B204" s="3" t="str">
        <v>MOWILITH DM230</v>
      </c>
      <c r="C204" s="3" t="str">
        <v>ENCOR 367</v>
      </c>
      <c r="D204" s="1">
        <v>0.212</v>
      </c>
      <c r="E204" s="2">
        <f>(E$205*D204)</f>
        <v>424</v>
      </c>
    </row>
    <row r="205">
      <c r="D205" s="1">
        <f>SUM(D193:D204)</f>
        <v>0.9999999999999999</v>
      </c>
      <c r="E205" s="2">
        <v>2000</v>
      </c>
    </row>
    <row r="206"/>
    <row r="207"/>
    <row r="208"/>
    <row r="209"/>
    <row r="210">
      <c r="A210" t="str">
        <v xml:space="preserve">               25.12.2022-009      Fresco INTUMESCENT</v>
      </c>
    </row>
    <row r="211">
      <c r="A211" t="str">
        <v>מבוסס על מרשם 007 - עם החלפת מסמיכים</v>
      </c>
    </row>
    <row r="212">
      <c r="A212" t="str">
        <v>הוראות יצור</v>
      </c>
      <c r="B212" t="str">
        <v xml:space="preserve">המלצות </v>
      </c>
      <c r="C212" t="str">
        <v>חומר</v>
      </c>
      <c r="D212" t="str">
        <v>אחוז</v>
      </c>
      <c r="E212" t="str">
        <v>כמות ק''ג</v>
      </c>
    </row>
    <row r="213">
      <c r="A213" t="str">
        <v>30 min HIGH SHEAR</v>
      </c>
      <c r="B213" t="str">
        <v>water</v>
      </c>
      <c r="C213" t="str">
        <v>water</v>
      </c>
      <c r="D213" s="1">
        <v>0.1728</v>
      </c>
      <c r="E213" s="2">
        <f>(E$225*D213)</f>
        <v>432</v>
      </c>
    </row>
    <row r="214">
      <c r="B214" t="str">
        <v>OROTAN 1124</v>
      </c>
      <c r="C214" t="str">
        <v>OROTAN 731</v>
      </c>
      <c r="D214" s="1">
        <v>0.0016</v>
      </c>
      <c r="E214" s="2">
        <f>(E$225*D214)</f>
        <v>4</v>
      </c>
    </row>
    <row r="215">
      <c r="C215" t="str">
        <v>Biocide CMIF</v>
      </c>
      <c r="D215" s="1">
        <v>0.002</v>
      </c>
      <c r="E215" s="2">
        <f>(E$225*D215)</f>
        <v>5</v>
      </c>
    </row>
    <row r="216">
      <c r="C216" t="str">
        <v>COMBIZELL</v>
      </c>
      <c r="D216" s="1">
        <v>0.0015</v>
      </c>
      <c r="E216" s="2">
        <f>(E$225*D216)</f>
        <v>3.75</v>
      </c>
    </row>
    <row r="217">
      <c r="C217" t="str">
        <v>RM-825</v>
      </c>
      <c r="D217" s="1">
        <v>0.0025</v>
      </c>
      <c r="E217" s="2">
        <f>(E$225*D217)</f>
        <v>6.25</v>
      </c>
    </row>
    <row r="218">
      <c r="A218" t="str">
        <v>Add until total homogenisation with high shear mixer</v>
      </c>
      <c r="B218" s="3" t="str">
        <v>-</v>
      </c>
      <c r="C218" t="str">
        <v>AGITAN 80</v>
      </c>
      <c r="D218" s="1">
        <v>0.003</v>
      </c>
      <c r="E218" s="2">
        <f>(E$225*D218)</f>
        <v>7.5</v>
      </c>
    </row>
    <row r="219">
      <c r="A219" t="str">
        <v>Add until total homogenisation with high shear mixer</v>
      </c>
      <c r="B219" s="3" t="str">
        <v>TIONA 595</v>
      </c>
      <c r="C219" t="str">
        <v>TIONA 826</v>
      </c>
      <c r="D219" s="1">
        <v>0.106</v>
      </c>
      <c r="E219" s="2">
        <f>(E$225*D219)</f>
        <v>265</v>
      </c>
    </row>
    <row r="220">
      <c r="A220" t="str">
        <v>Add until total homogenisation with high shear mixer</v>
      </c>
      <c r="B220" s="3" t="str">
        <v>PENTAERYTHRITOL</v>
      </c>
      <c r="C220" t="str">
        <v xml:space="preserve"> CHARMOR PM 40</v>
      </c>
      <c r="D220" s="1">
        <v>0.106</v>
      </c>
      <c r="E220" s="2">
        <f>(E$225*D220)</f>
        <v>265</v>
      </c>
    </row>
    <row r="221">
      <c r="A221" t="str">
        <v>Add until total homogenisation with high shear mixer</v>
      </c>
      <c r="B221" s="3" t="str">
        <v>MELAFINE</v>
      </c>
      <c r="C221" t="str">
        <v>MELAFINE</v>
      </c>
      <c r="D221" s="1">
        <v>0.106</v>
      </c>
      <c r="E221" s="2">
        <f>(E$225*D221)</f>
        <v>265</v>
      </c>
    </row>
    <row r="222">
      <c r="A222" t="str">
        <v>Add until total homogenisation with a reduced shear rate</v>
      </c>
      <c r="C222" s="3" t="str">
        <v>Texanol</v>
      </c>
      <c r="D222" s="1">
        <v>0.0116</v>
      </c>
      <c r="E222" s="2">
        <f>(E$225*D222)</f>
        <v>28.999999999999996</v>
      </c>
    </row>
    <row r="223">
      <c r="B223" s="3" t="str">
        <v>EXOLIT AP435</v>
      </c>
      <c r="C223" s="3" t="str">
        <v>EXOLIT AP435</v>
      </c>
      <c r="D223" s="1">
        <v>0.275</v>
      </c>
      <c r="E223" s="2">
        <f>(E$225*D223)</f>
        <v>687.5</v>
      </c>
    </row>
    <row r="224">
      <c r="A224" t="str">
        <v>Add until total homogenisation with a reduced shear rate</v>
      </c>
      <c r="B224" s="3" t="str">
        <v>MOWILITH DM230</v>
      </c>
      <c r="C224" s="3" t="str">
        <v>ENCOR 367</v>
      </c>
      <c r="D224" s="1">
        <v>0.212</v>
      </c>
      <c r="E224" s="2">
        <f>(E$225*D224)</f>
        <v>530</v>
      </c>
    </row>
    <row r="225">
      <c r="D225" s="1">
        <f>SUM(D213:D224)</f>
        <v>0.9999999999999999</v>
      </c>
      <c r="E225" s="2">
        <v>2500</v>
      </c>
    </row>
    <row r="228">
      <c r="A228" t="str">
        <v xml:space="preserve">               27.12.2022-010     Fresco INTUMESCENT</v>
      </c>
    </row>
    <row r="229">
      <c r="A229" t="str">
        <v xml:space="preserve">עירבוב מרשם 009+008, דדי יקבל 6 דוגמאות של 250 מ''ל מדודוללים 5% מים מזוקקים -kvfbv go </v>
      </c>
    </row>
    <row r="230">
      <c r="A230" t="str">
        <v>הוראות יצור</v>
      </c>
      <c r="B230" t="str">
        <v xml:space="preserve">המלצות </v>
      </c>
      <c r="C230" t="str">
        <v>חומר</v>
      </c>
      <c r="D230" t="str">
        <v>אחוז</v>
      </c>
      <c r="E230" t="str">
        <v>כמות ק''ג</v>
      </c>
    </row>
    <row r="231">
      <c r="A231" t="str">
        <v>30 min HIGH SHEAR</v>
      </c>
      <c r="B231" t="str">
        <v>water</v>
      </c>
      <c r="C231" t="str">
        <v>water</v>
      </c>
      <c r="D231" s="1">
        <v>0.1731</v>
      </c>
      <c r="E231" s="2">
        <f>(E$243*D231)</f>
        <v>778.95</v>
      </c>
    </row>
    <row r="232">
      <c r="B232" t="str">
        <v>OROTAN 1124</v>
      </c>
      <c r="C232" t="str">
        <v>OROTAN 731</v>
      </c>
      <c r="D232" s="1">
        <v>0.00164</v>
      </c>
      <c r="E232" s="2">
        <f>D232*E244</f>
        <v>0</v>
      </c>
    </row>
    <row r="233">
      <c r="C233" t="str">
        <v>Biocide CMIF</v>
      </c>
      <c r="D233" s="1">
        <v>0.002</v>
      </c>
      <c r="E233" s="2">
        <f>(D233*E243)</f>
        <v>9</v>
      </c>
    </row>
    <row r="234">
      <c r="C234" t="str">
        <v>COMBIZELL</v>
      </c>
      <c r="D234" s="1">
        <v>0.0011</v>
      </c>
      <c r="E234" s="2">
        <f>(E$243*D234)</f>
        <v>4.95</v>
      </c>
    </row>
    <row r="235">
      <c r="C235" t="str">
        <v>RM-825</v>
      </c>
      <c r="D235" s="1">
        <v>0.0026</v>
      </c>
      <c r="E235" s="2">
        <f>(E$243*D235)</f>
        <v>11.7</v>
      </c>
    </row>
    <row r="236">
      <c r="A236" t="str">
        <v>Add until total homogenisation with high shear mixer</v>
      </c>
      <c r="B236" s="3" t="str">
        <v>-</v>
      </c>
      <c r="C236" t="str">
        <v>AGITAN 80</v>
      </c>
      <c r="D236" s="1">
        <v>0.003</v>
      </c>
      <c r="E236" s="2">
        <f>(E$243*D236)</f>
        <v>13.5</v>
      </c>
    </row>
    <row r="237">
      <c r="A237" t="str">
        <v>Add until total homogenisation with high shear mixer</v>
      </c>
      <c r="B237" s="3" t="str">
        <v>TIONA 595</v>
      </c>
      <c r="C237" t="str">
        <v>TIONA 826</v>
      </c>
      <c r="D237" s="1">
        <v>0.106</v>
      </c>
      <c r="E237" s="2">
        <f>(E$243*D237)</f>
        <v>477</v>
      </c>
    </row>
    <row r="238">
      <c r="A238" t="str">
        <v>Add until total homogenisation with high shear mixer</v>
      </c>
      <c r="B238" s="3" t="str">
        <v>PENTAERYTHRITOL</v>
      </c>
      <c r="C238" t="str">
        <v xml:space="preserve"> CHARMOR PM 40</v>
      </c>
      <c r="D238" s="1">
        <v>0.106</v>
      </c>
      <c r="E238" s="2">
        <f>(E$243*D238)</f>
        <v>477</v>
      </c>
    </row>
    <row r="239">
      <c r="A239" t="str">
        <v>Add until total homogenisation with high shear mixer</v>
      </c>
      <c r="B239" s="3" t="str">
        <v>MELAFINE</v>
      </c>
      <c r="C239" t="str">
        <v>MELAFINE</v>
      </c>
      <c r="D239" s="1">
        <v>0.106</v>
      </c>
      <c r="E239" s="2">
        <f>(E$243*D239)</f>
        <v>477</v>
      </c>
    </row>
    <row r="240">
      <c r="A240" t="str">
        <v>Add until total homogenisation with a reduced shear rate</v>
      </c>
      <c r="C240" s="3" t="str">
        <v>Texanol</v>
      </c>
      <c r="D240" s="1">
        <v>0.0117</v>
      </c>
      <c r="E240" s="2">
        <f>(E$243*D240)</f>
        <v>52.65</v>
      </c>
    </row>
    <row r="241">
      <c r="B241" s="3" t="str">
        <v>EXOLIT AP435</v>
      </c>
      <c r="C241" s="3" t="str">
        <v>EXOLIT AP435</v>
      </c>
      <c r="D241" s="1">
        <v>0.2749</v>
      </c>
      <c r="E241" s="2">
        <f>(E$243*D241)</f>
        <v>1237.05</v>
      </c>
    </row>
    <row r="242">
      <c r="A242" t="str">
        <v>Add until total homogenisation with a reduced shear rate</v>
      </c>
      <c r="B242" s="3" t="str">
        <v>MOWILITH DM230</v>
      </c>
      <c r="C242" s="3" t="str">
        <v>ENCOR 367</v>
      </c>
      <c r="D242" s="1">
        <v>0.212</v>
      </c>
      <c r="E242" s="2">
        <f>(E$243*D242)</f>
        <v>954</v>
      </c>
    </row>
    <row r="243">
      <c r="D243" s="1">
        <f>SUM(D231:D242)</f>
        <v>1.00004</v>
      </c>
      <c r="E243" s="2">
        <v>4500</v>
      </c>
    </row>
    <row r="250">
      <c r="A250" t="str">
        <v xml:space="preserve">              03.1.2023-011     Fresco INTUMESCENT</v>
      </c>
    </row>
    <row r="251">
      <c r="A251" t="str">
        <v>על בסיס 010-  הקטנת מסמיכים, הכנת 2.5 ק"ג  ופיצול נוגד קצף</v>
      </c>
    </row>
    <row r="252">
      <c r="A252" t="str">
        <v>הוראות יצור</v>
      </c>
      <c r="B252" t="str">
        <v xml:space="preserve">המלצות </v>
      </c>
      <c r="C252" t="str">
        <v>חומר</v>
      </c>
      <c r="D252" t="str">
        <v>אחוז</v>
      </c>
      <c r="E252" t="str">
        <v>כמות ק''ג</v>
      </c>
    </row>
    <row r="253">
      <c r="A253" t="str">
        <v>30 min HIGH SHEAR</v>
      </c>
      <c r="B253" t="str">
        <v>water</v>
      </c>
      <c r="C253" t="str">
        <v>water</v>
      </c>
      <c r="D253" s="1">
        <v>0.1733</v>
      </c>
      <c r="E253" s="2">
        <f>(E$266*D253)</f>
        <v>433.25</v>
      </c>
    </row>
    <row r="254">
      <c r="B254" t="str">
        <v>OROTAN 1124</v>
      </c>
      <c r="C254" t="str">
        <v>OROTAN 731</v>
      </c>
      <c r="D254" s="4">
        <v>0.0016</v>
      </c>
      <c r="E254" s="2">
        <f>(E$266*D254)</f>
        <v>4</v>
      </c>
    </row>
    <row r="255">
      <c r="C255" t="str">
        <v>Biocide CMIF</v>
      </c>
      <c r="D255" s="1">
        <v>0.002</v>
      </c>
      <c r="E255" s="2">
        <f>(E$266*D255)</f>
        <v>5</v>
      </c>
    </row>
    <row r="256">
      <c r="C256" t="str">
        <v>COMBIZELL</v>
      </c>
      <c r="D256" s="1">
        <v>0.001</v>
      </c>
      <c r="E256" s="2">
        <f>(E$266*D256)</f>
        <v>2.5</v>
      </c>
    </row>
    <row r="257">
      <c r="C257" t="str">
        <v>AGITAN 80</v>
      </c>
      <c r="D257" s="1">
        <v>0.002</v>
      </c>
      <c r="E257" s="2">
        <f>(E$266*D257)</f>
        <v>5</v>
      </c>
    </row>
    <row r="258">
      <c r="C258" t="str">
        <v>RM-825</v>
      </c>
      <c r="D258" s="1">
        <v>0.0025</v>
      </c>
      <c r="E258" s="2">
        <f>(E$266*D258)</f>
        <v>6.25</v>
      </c>
    </row>
    <row r="259">
      <c r="A259" t="str">
        <v>Add until total homogenisation with high shear mixer</v>
      </c>
      <c r="B259" s="3" t="str">
        <v>-</v>
      </c>
      <c r="C259" t="str">
        <v>AGITAN 80</v>
      </c>
      <c r="D259" s="1">
        <v>0.001</v>
      </c>
      <c r="E259" s="2">
        <f>(E$266*D259)</f>
        <v>2.5</v>
      </c>
    </row>
    <row r="260">
      <c r="A260" t="str">
        <v>Add until total homogenisation with high shear mixer</v>
      </c>
      <c r="B260" s="3" t="str">
        <v>TIONA 595</v>
      </c>
      <c r="C260" t="str">
        <v>TIONA 826</v>
      </c>
      <c r="D260" s="1">
        <v>0.106</v>
      </c>
      <c r="E260" s="2">
        <f>(E$266*D260)</f>
        <v>265</v>
      </c>
    </row>
    <row r="261">
      <c r="A261" t="str">
        <v>Add until total homogenisation with high shear mixer</v>
      </c>
      <c r="B261" s="3" t="str">
        <v>PENTAERYTHRITOL</v>
      </c>
      <c r="C261" t="str">
        <v xml:space="preserve"> CHARMOR PM 40</v>
      </c>
      <c r="D261" s="1">
        <v>0.106</v>
      </c>
      <c r="E261" s="2">
        <f>(E$266*D261)</f>
        <v>265</v>
      </c>
    </row>
    <row r="262">
      <c r="A262" t="str">
        <v>Add until total homogenisation with high shear mixer</v>
      </c>
      <c r="B262" s="3" t="str">
        <v>MELAFINE</v>
      </c>
      <c r="C262" t="str">
        <v>MELAFINE</v>
      </c>
      <c r="D262" s="1">
        <v>0.106</v>
      </c>
      <c r="E262" s="2">
        <f>(E$266*D262)</f>
        <v>265</v>
      </c>
    </row>
    <row r="263">
      <c r="A263" t="str">
        <v>Add until total homogenisation with a reduced shear rate</v>
      </c>
      <c r="C263" s="3" t="str">
        <v>Texanol</v>
      </c>
      <c r="D263" s="1">
        <v>0.0117</v>
      </c>
      <c r="E263" s="2">
        <f>(E$266*D263)</f>
        <v>29.25</v>
      </c>
    </row>
    <row r="264">
      <c r="B264" s="3" t="str">
        <v>EXOLIT AP435</v>
      </c>
      <c r="C264" s="3" t="str">
        <v>EXOLIT AP435</v>
      </c>
      <c r="D264" s="1">
        <v>0.2749</v>
      </c>
      <c r="E264" s="2">
        <f>(E$266*D264)</f>
        <v>687.25</v>
      </c>
    </row>
    <row r="265">
      <c r="A265" t="str">
        <v>Add until total homogenisation with a reduced shear rate</v>
      </c>
      <c r="B265" s="3" t="str">
        <v>MOWILITH DM230</v>
      </c>
      <c r="C265" s="3" t="str">
        <v>ENCOR 367</v>
      </c>
      <c r="D265" s="1">
        <v>0.212</v>
      </c>
      <c r="E265" s="2">
        <f>(E$266*D265)</f>
        <v>530</v>
      </c>
    </row>
    <row r="266">
      <c r="D266" s="4">
        <f>SUM(D253:D265)</f>
        <v>1</v>
      </c>
      <c r="E266" s="2">
        <v>2500</v>
      </c>
    </row>
    <row r="267">
      <c r="E267" s="2">
        <f>SUM(E253:E265)</f>
        <v>2500</v>
      </c>
    </row>
    <row r="270">
      <c r="A270" t="str">
        <v xml:space="preserve"> - 17.01.2023</v>
      </c>
    </row>
    <row r="271">
      <c r="A271" t="str">
        <v>נשלח לקלאוס חברת קלריאנט 4 בקבוקים של 600 גרם לבדיקות תקן</v>
      </c>
    </row>
    <row r="272">
      <c r="A272" t="str">
        <v>במדבקה כתוב מנה 03.01.23-010 אבל הרוב היה נוסחה 011.</v>
      </c>
    </row>
    <row r="277">
      <c r="A277" t="str">
        <v xml:space="preserve">             01.2.2023-012     Fresco INTUMESCENT</v>
      </c>
    </row>
    <row r="278">
      <c r="A278" t="str">
        <v>על בסיס 011-  הקטנת מסמיכים, הכנת 2.7 ק"ג לכיסוי יותר טוב של הדיסק ופיצול נוגד קצף</v>
      </c>
    </row>
    <row r="279">
      <c r="A279" t="str">
        <v>הוראות יצור</v>
      </c>
      <c r="B279" t="str">
        <v xml:space="preserve">המלצות </v>
      </c>
      <c r="C279" t="str">
        <v>חומר</v>
      </c>
      <c r="D279" t="str">
        <v>אחוז</v>
      </c>
      <c r="E279" t="str">
        <v>כמות ק''ג</v>
      </c>
    </row>
    <row r="280">
      <c r="A280" t="str">
        <v>30 min HIGH SHEAR</v>
      </c>
      <c r="B280" t="str">
        <v>water</v>
      </c>
      <c r="C280" t="str">
        <v>water</v>
      </c>
      <c r="D280" s="1">
        <v>0.174</v>
      </c>
      <c r="E280" s="2">
        <f>(E$293*D280)</f>
        <v>469.79999999999995</v>
      </c>
    </row>
    <row r="281">
      <c r="B281" t="str">
        <v>OROTAN 1124</v>
      </c>
      <c r="C281" t="str">
        <v>OROTAN 731</v>
      </c>
      <c r="D281" s="4">
        <v>0.0016</v>
      </c>
      <c r="E281" s="2">
        <f>(E$293*D281)</f>
        <v>4.32</v>
      </c>
    </row>
    <row r="282">
      <c r="C282" t="str">
        <v>Biocide CMIF</v>
      </c>
      <c r="D282" s="1">
        <v>0.002</v>
      </c>
      <c r="E282" s="2">
        <f>(E$293*D282)</f>
        <v>5.4</v>
      </c>
    </row>
    <row r="283">
      <c r="C283" t="str">
        <v>COMBIZELL</v>
      </c>
      <c r="D283" s="1">
        <v>0.0008</v>
      </c>
      <c r="E283" s="2">
        <f>(E$293*D283)</f>
        <v>2.16</v>
      </c>
    </row>
    <row r="284">
      <c r="C284" t="str">
        <v>AGITAN 80</v>
      </c>
      <c r="D284" s="1">
        <v>0.002</v>
      </c>
      <c r="E284" s="2">
        <f>(E$293*D284)</f>
        <v>5.4</v>
      </c>
    </row>
    <row r="285">
      <c r="C285" t="str">
        <v>RM-825</v>
      </c>
      <c r="D285" s="1">
        <v>0.002</v>
      </c>
      <c r="E285" s="2">
        <f>(E$293*D285)</f>
        <v>5.4</v>
      </c>
    </row>
    <row r="286">
      <c r="A286" t="str">
        <v>Add until total homogenisation with high shear mixer</v>
      </c>
      <c r="B286" s="3" t="str">
        <v>-</v>
      </c>
      <c r="C286" t="str">
        <v>AGITAN 80</v>
      </c>
      <c r="D286" s="1">
        <v>0.001</v>
      </c>
      <c r="E286" s="2">
        <f>(E$293*D286)</f>
        <v>2.7</v>
      </c>
    </row>
    <row r="287">
      <c r="A287" t="str">
        <v>Add until total homogenisation with high shear mixer</v>
      </c>
      <c r="B287" s="3" t="str">
        <v>TIONA 595</v>
      </c>
      <c r="C287" t="str">
        <v>TIONA 826</v>
      </c>
      <c r="D287" s="1">
        <v>0.106</v>
      </c>
      <c r="E287" s="2">
        <f>(E$293*D287)</f>
        <v>286.2</v>
      </c>
    </row>
    <row r="288">
      <c r="A288" t="str">
        <v>Add until total homogenisation with high shear mixer</v>
      </c>
      <c r="B288" s="3" t="str">
        <v>PENTAERYTHRITOL</v>
      </c>
      <c r="C288" t="str">
        <v xml:space="preserve"> CHARMOR PM 40</v>
      </c>
      <c r="D288" s="1">
        <v>0.106</v>
      </c>
      <c r="E288" s="2">
        <f>(E$293*D288)</f>
        <v>286.2</v>
      </c>
    </row>
    <row r="289">
      <c r="A289" t="str">
        <v>Add until total homogenisation with high shear mixer</v>
      </c>
      <c r="B289" s="3" t="str">
        <v>MELAFINE</v>
      </c>
      <c r="C289" t="str">
        <v>MELAFINE</v>
      </c>
      <c r="D289" s="1">
        <v>0.106</v>
      </c>
      <c r="E289" s="2">
        <f>(E$293*D289)</f>
        <v>286.2</v>
      </c>
    </row>
    <row r="290">
      <c r="A290" t="str">
        <v>Add until total homogenisation with a reduced shear rate</v>
      </c>
      <c r="C290" s="3" t="str">
        <v>Texanol</v>
      </c>
      <c r="D290" s="1">
        <v>0.0117</v>
      </c>
      <c r="E290" s="2">
        <f>(E$293*D290)</f>
        <v>31.59</v>
      </c>
    </row>
    <row r="291">
      <c r="B291" s="3" t="str">
        <v>EXOLIT AP435</v>
      </c>
      <c r="C291" s="3" t="str">
        <v>EXOLIT AP435</v>
      </c>
      <c r="D291" s="1">
        <v>0.2749</v>
      </c>
      <c r="E291" s="2">
        <f>(E$293*D291)</f>
        <v>742.2299999999999</v>
      </c>
    </row>
    <row r="292">
      <c r="A292" t="str">
        <v>Add until total homogenisation with a reduced shear rate</v>
      </c>
      <c r="B292" s="3" t="str">
        <v>MOWILITH DM230</v>
      </c>
      <c r="C292" s="3" t="str">
        <v>ENCOR 367</v>
      </c>
      <c r="D292" s="1">
        <v>0.212</v>
      </c>
      <c r="E292" s="2">
        <f>(E$293*D292)</f>
        <v>572.4</v>
      </c>
    </row>
    <row r="293">
      <c r="D293" s="4">
        <f>SUM(D280:D292)</f>
        <v>1</v>
      </c>
      <c r="E293" s="2">
        <v>2700</v>
      </c>
    </row>
    <row r="294">
      <c r="E294" s="2">
        <f>SUM(E280:E292)</f>
        <v>2700</v>
      </c>
    </row>
    <row r="295">
      <c r="A295" t="str">
        <v>נשלח כדוגמאות לדדי ב9.2.23</v>
      </c>
    </row>
    <row r="300">
      <c r="A300" t="str">
        <v xml:space="preserve">            14.2.2023-013     Fresco INTUMESCENT</v>
      </c>
    </row>
    <row r="301">
      <c r="A301" t="str">
        <v>על בסיס 012-  הגדלת גודל מנה בהכנה עם דיסק גדול במעבדה</v>
      </c>
    </row>
    <row r="302">
      <c r="A302" t="str">
        <v>הוראות יצור</v>
      </c>
      <c r="B302" t="str">
        <v xml:space="preserve">המלצות </v>
      </c>
      <c r="C302" t="str">
        <v>חומר</v>
      </c>
      <c r="D302" t="str">
        <v>אחוז</v>
      </c>
      <c r="E302" t="str">
        <v>כמות ק''ג</v>
      </c>
    </row>
    <row r="303">
      <c r="A303" t="str">
        <v>30 min HIGH SHEAR</v>
      </c>
      <c r="B303" t="str">
        <v>water</v>
      </c>
      <c r="C303" t="str">
        <v>water</v>
      </c>
      <c r="D303" s="1">
        <v>0.174</v>
      </c>
      <c r="E303" s="2">
        <f>(E$316*D303)</f>
        <v>609</v>
      </c>
    </row>
    <row r="304">
      <c r="B304" t="str">
        <v>OROTAN 1124</v>
      </c>
      <c r="C304" t="str">
        <v>OROTAN 731</v>
      </c>
      <c r="D304" s="4">
        <v>0.0016</v>
      </c>
      <c r="E304" s="2">
        <f>(E$316*D304)</f>
        <v>5.6000000000000005</v>
      </c>
    </row>
    <row r="305">
      <c r="C305" t="str">
        <v>Biocide CMIF</v>
      </c>
      <c r="D305" s="1">
        <v>0.002</v>
      </c>
      <c r="E305" s="2">
        <f>(E$316*D305)</f>
        <v>7</v>
      </c>
    </row>
    <row r="306">
      <c r="C306" t="str">
        <v>COMBIZELL</v>
      </c>
      <c r="D306" s="1">
        <v>0.0008</v>
      </c>
      <c r="E306" s="2">
        <f>(E$316*D306)</f>
        <v>2.8000000000000003</v>
      </c>
    </row>
    <row r="307">
      <c r="C307" t="str">
        <v>AGITAN 80</v>
      </c>
      <c r="D307" s="1">
        <v>0.002</v>
      </c>
      <c r="E307" s="2">
        <f>(E$316*D307)</f>
        <v>7</v>
      </c>
    </row>
    <row r="308">
      <c r="C308" t="str">
        <v>RM-825</v>
      </c>
      <c r="D308" s="1">
        <v>0.002</v>
      </c>
      <c r="E308" s="2">
        <f>(E$316*D308)</f>
        <v>7</v>
      </c>
    </row>
    <row r="309">
      <c r="A309" t="str">
        <v>Add until total homogenisation with high shear mixer</v>
      </c>
      <c r="B309" s="3" t="str">
        <v>-</v>
      </c>
      <c r="C309" t="str">
        <v>AGITAN 80</v>
      </c>
      <c r="D309" s="1">
        <v>0.001</v>
      </c>
      <c r="E309" s="2">
        <f>(E$316*D309)</f>
        <v>3.5</v>
      </c>
    </row>
    <row r="310">
      <c r="A310" t="str">
        <v>Add until total homogenisation with high shear mixer</v>
      </c>
      <c r="B310" s="3" t="str">
        <v>TIONA 595</v>
      </c>
      <c r="C310" t="str">
        <v>TIONA 826</v>
      </c>
      <c r="D310" s="1">
        <v>0.106</v>
      </c>
      <c r="E310" s="2">
        <f>(E$316*D310)</f>
        <v>371</v>
      </c>
    </row>
    <row r="311">
      <c r="A311" t="str">
        <v>Add until total homogenisation with high shear mixer</v>
      </c>
      <c r="B311" s="3" t="str">
        <v>PENTAERYTHRITOL</v>
      </c>
      <c r="C311" t="str">
        <v xml:space="preserve"> CHARMOR PM 40</v>
      </c>
      <c r="D311" s="1">
        <v>0.106</v>
      </c>
      <c r="E311" s="2">
        <f>(E$316*D311)</f>
        <v>371</v>
      </c>
    </row>
    <row r="312">
      <c r="A312" t="str">
        <v>Add until total homogenisation with high shear mixer</v>
      </c>
      <c r="B312" s="3" t="str">
        <v>MELAFINE</v>
      </c>
      <c r="C312" t="str">
        <v>MELAFINE</v>
      </c>
      <c r="D312" s="1">
        <v>0.106</v>
      </c>
      <c r="E312" s="2">
        <f>(E$316*D312)</f>
        <v>371</v>
      </c>
    </row>
    <row r="313">
      <c r="A313" t="str">
        <v>Add until total homogenisation with a reduced shear rate</v>
      </c>
      <c r="C313" s="3" t="str">
        <v>Texanol</v>
      </c>
      <c r="D313" s="1">
        <v>0.0117</v>
      </c>
      <c r="E313" s="2">
        <f>(E$316*D313)</f>
        <v>40.95</v>
      </c>
    </row>
    <row r="314">
      <c r="B314" s="3" t="str">
        <v>EXOLIT AP435</v>
      </c>
      <c r="C314" s="3" t="str">
        <v>EXOLIT AP435</v>
      </c>
      <c r="D314" s="1">
        <v>0.2749</v>
      </c>
      <c r="E314" s="2">
        <f>(E$316*D314)</f>
        <v>962.15</v>
      </c>
    </row>
    <row r="315">
      <c r="A315" t="str">
        <v>Add until total homogenisation with a reduced shear rate</v>
      </c>
      <c r="B315" s="3" t="str">
        <v>MOWILITH DM230</v>
      </c>
      <c r="C315" s="3" t="str">
        <v>ENCOR 367</v>
      </c>
      <c r="D315" s="1">
        <v>0.212</v>
      </c>
      <c r="E315" s="2">
        <f>(E$316*D315)</f>
        <v>742</v>
      </c>
    </row>
    <row r="316">
      <c r="D316" s="4">
        <f>SUM(D303:D315)</f>
        <v>1</v>
      </c>
      <c r="E316" s="2">
        <v>3500</v>
      </c>
    </row>
    <row r="317">
      <c r="E317" s="2">
        <f>SUM(E303:E315)</f>
        <v>3500</v>
      </c>
    </row>
    <row r="321">
      <c r="A321" t="str">
        <v xml:space="preserve">            16.2.2023-013     Fresco INTUMESCENT</v>
      </c>
    </row>
    <row r="322">
      <c r="A322" t="str">
        <v>על בסיס 012-  הגדלת גודל מנה בהכנה עם דיסק גדול במעבדה</v>
      </c>
    </row>
    <row r="323">
      <c r="A323" t="str">
        <v>הוראות יצור</v>
      </c>
      <c r="B323" t="str">
        <v xml:space="preserve">המלצות </v>
      </c>
      <c r="C323" t="str">
        <v>חומר</v>
      </c>
      <c r="D323" t="str">
        <v>אחוז</v>
      </c>
      <c r="E323" t="str">
        <v>כמות ק''ג</v>
      </c>
    </row>
    <row r="324">
      <c r="A324" t="str">
        <v>30 min HIGH SHEAR</v>
      </c>
      <c r="B324" t="str">
        <v>water</v>
      </c>
      <c r="C324" t="str">
        <v>water</v>
      </c>
      <c r="D324" s="1">
        <v>0.174</v>
      </c>
      <c r="E324" s="2">
        <f>(E$316*D324)</f>
        <v>609</v>
      </c>
    </row>
    <row r="325">
      <c r="B325" t="str">
        <v>OROTAN 1124</v>
      </c>
      <c r="C325" t="str">
        <v>OROTAN 731</v>
      </c>
      <c r="D325" s="4">
        <v>0.0016</v>
      </c>
      <c r="E325" s="2">
        <f>(E$316*D325)</f>
        <v>5.6000000000000005</v>
      </c>
    </row>
    <row r="326">
      <c r="C326" t="str">
        <v>Biocide CMIF</v>
      </c>
      <c r="D326" s="1">
        <v>0.002</v>
      </c>
      <c r="E326" s="2">
        <f>(E$316*D326)</f>
        <v>7</v>
      </c>
    </row>
    <row r="327">
      <c r="C327" t="str">
        <v>COMBIZELL</v>
      </c>
      <c r="D327" s="1">
        <v>0.0008</v>
      </c>
      <c r="E327" s="2">
        <f>(E$316*D327)</f>
        <v>2.8000000000000003</v>
      </c>
    </row>
    <row r="328">
      <c r="C328" t="str">
        <v>AGITAN 80</v>
      </c>
      <c r="D328" s="1">
        <v>0.002</v>
      </c>
      <c r="E328" s="2">
        <f>(E$316*D328)</f>
        <v>7</v>
      </c>
    </row>
    <row r="329">
      <c r="C329" t="str">
        <v>RM-825</v>
      </c>
      <c r="D329" s="1">
        <v>0.002</v>
      </c>
      <c r="E329" s="2">
        <f>(E$316*D329)</f>
        <v>7</v>
      </c>
    </row>
    <row r="330">
      <c r="A330" t="str">
        <v>Add until total homogenisation with high shear mixer</v>
      </c>
      <c r="B330" s="3" t="str">
        <v>-</v>
      </c>
      <c r="C330" t="str">
        <v>AGITAN 80</v>
      </c>
      <c r="D330" s="1">
        <v>0.001</v>
      </c>
      <c r="E330" s="2">
        <f>(E$316*D330)</f>
        <v>3.5</v>
      </c>
    </row>
    <row r="331">
      <c r="A331" t="str">
        <v>Add until total homogenisation with high shear mixer</v>
      </c>
      <c r="B331" s="3" t="str">
        <v>TIONA 595</v>
      </c>
      <c r="C331" t="str">
        <v>TIONA 826</v>
      </c>
      <c r="D331" s="1">
        <v>0.106</v>
      </c>
      <c r="E331" s="2">
        <f>(E$316*D331)</f>
        <v>371</v>
      </c>
    </row>
    <row r="332">
      <c r="A332" t="str">
        <v>Add until total homogenisation with high shear mixer</v>
      </c>
      <c r="B332" s="3" t="str">
        <v>PENTAERYTHRITOL</v>
      </c>
      <c r="C332" t="str">
        <v xml:space="preserve"> CHARMOR PM 40</v>
      </c>
      <c r="D332" s="1">
        <v>0.106</v>
      </c>
      <c r="E332" s="2">
        <f>(E$316*D332)</f>
        <v>371</v>
      </c>
    </row>
    <row r="333">
      <c r="A333" t="str">
        <v>Add until total homogenisation with high shear mixer</v>
      </c>
      <c r="B333" s="3" t="str">
        <v>MELAFINE</v>
      </c>
      <c r="C333" t="str">
        <v>MELAFINE</v>
      </c>
      <c r="D333" s="1">
        <v>0.106</v>
      </c>
      <c r="E333" s="2">
        <f>(E$316*D333)</f>
        <v>371</v>
      </c>
    </row>
    <row r="334">
      <c r="A334" t="str">
        <v>Add until total homogenisation with a reduced shear rate</v>
      </c>
      <c r="C334" s="3" t="str">
        <v>Texanol</v>
      </c>
      <c r="D334" s="1">
        <v>0.0117</v>
      </c>
      <c r="E334" s="2">
        <f>(E$316*D334)</f>
        <v>40.95</v>
      </c>
    </row>
    <row r="335">
      <c r="B335" s="3" t="str">
        <v>EXOLIT AP435</v>
      </c>
      <c r="C335" s="3" t="str">
        <v>EXOLIT AP435</v>
      </c>
      <c r="D335" s="1">
        <v>0.2749</v>
      </c>
      <c r="E335" s="2">
        <f>(E$316*D335)</f>
        <v>962.15</v>
      </c>
    </row>
    <row r="336">
      <c r="A336" t="str">
        <v>Add until total homogenisation with a reduced shear rate</v>
      </c>
      <c r="B336" s="3" t="str">
        <v>MOWILITH DM230</v>
      </c>
      <c r="C336" s="3" t="str">
        <v>ENCOR 367</v>
      </c>
      <c r="D336" s="1">
        <v>0.212</v>
      </c>
      <c r="E336" s="2">
        <f>(E$316*D336)</f>
        <v>742</v>
      </c>
    </row>
    <row r="337">
      <c r="D337" s="4">
        <f>SUM(D324:D336)</f>
        <v>1</v>
      </c>
      <c r="E337" s="2">
        <v>3500</v>
      </c>
    </row>
    <row r="338">
      <c r="E338" s="2">
        <f>SUM(E324:E336)</f>
        <v>3500</v>
      </c>
    </row>
    <row r="343">
      <c r="A343" t="str">
        <v xml:space="preserve">            27.6.2023-014     Fresco INTUMESCENT</v>
      </c>
      <c r="I343" t="str">
        <v xml:space="preserve">            28.6.2023-014(1)     Fresco INTUMESCENT</v>
      </c>
    </row>
    <row r="344">
      <c r="A344" t="str">
        <v>על בסיס 013-  הכנה במעבדה. הוצאת 825 RM - הכנת 1 ק"ג על בסיס מרשם 013</v>
      </c>
      <c r="I344" t="str">
        <v>על בסיס 013-  הכנה במעבדה. הוצאת 825 RM - הכנת 1 ק"ג על בסיס מרשם 013</v>
      </c>
    </row>
    <row r="345">
      <c r="A345" t="str">
        <v>הוראות יצור</v>
      </c>
      <c r="B345" t="str">
        <v xml:space="preserve">המלצות </v>
      </c>
      <c r="C345" t="str">
        <v>חומר</v>
      </c>
      <c r="D345" t="str">
        <v>אחוז</v>
      </c>
      <c r="E345" t="str">
        <v>כמות ק''ג</v>
      </c>
      <c r="I345" t="str">
        <v>הוראות יצור</v>
      </c>
      <c r="J345" t="str">
        <v>שעה - הערות</v>
      </c>
      <c r="L345" t="str">
        <v>חומר</v>
      </c>
      <c r="M345" t="str">
        <v>כמות ק''ג</v>
      </c>
    </row>
    <row r="346">
      <c r="A346" t="str">
        <v>30 min HIGH SHEAR</v>
      </c>
      <c r="B346" t="str">
        <v>water</v>
      </c>
      <c r="C346" t="str">
        <v>water</v>
      </c>
      <c r="D346" s="1">
        <v>0.1758</v>
      </c>
      <c r="E346" s="2">
        <f>(E$359*D346)</f>
        <v>175.8</v>
      </c>
      <c r="I346" t="str">
        <v>הכנס חומרים לאט ופזר היטב. הפעל 5 דקות דספרסיה בין הכנסת כל חומר. וודא שאין קצף לפני המעבר לשלב הבא. עבוד במהירות בF10</v>
      </c>
      <c r="J346" s="5">
        <v>0.3875</v>
      </c>
      <c r="K346" t="str">
        <v>water</v>
      </c>
      <c r="L346" s="1">
        <v>0.1758</v>
      </c>
      <c r="M346" s="2">
        <f>(M$359*L346)</f>
        <v>175.8</v>
      </c>
    </row>
    <row r="347">
      <c r="B347" t="str">
        <v>OROTAN 1124</v>
      </c>
      <c r="C347" t="str">
        <v>OROTAN 731</v>
      </c>
      <c r="D347" s="4">
        <v>0.0016</v>
      </c>
      <c r="E347" s="2">
        <f>(E$359*D347)</f>
        <v>1.6</v>
      </c>
      <c r="J347" s="5">
        <v>0.3902777777777778</v>
      </c>
      <c r="K347" t="str">
        <v>OROTAN 731</v>
      </c>
      <c r="L347" s="4">
        <v>0.0016</v>
      </c>
      <c r="M347" s="2">
        <f>(M$359*L347)</f>
        <v>1.6</v>
      </c>
    </row>
    <row r="348">
      <c r="J348" s="5">
        <v>0.39444444444444443</v>
      </c>
      <c r="K348" t="str">
        <v>AGITAN 80</v>
      </c>
      <c r="L348" s="4">
        <v>0.001</v>
      </c>
      <c r="M348" s="2">
        <f>(M$359*L358)</f>
        <v>1</v>
      </c>
    </row>
    <row r="349">
      <c r="C349" t="str">
        <v>Biocide CMIF</v>
      </c>
      <c r="D349" s="1">
        <v>0.002</v>
      </c>
      <c r="E349" s="2">
        <f>(E$359*D349)</f>
        <v>2</v>
      </c>
      <c r="J349" s="5">
        <v>0.3993055555555556</v>
      </c>
      <c r="K349" t="str">
        <v>Biocide CMIF</v>
      </c>
      <c r="L349" s="1">
        <v>0.002</v>
      </c>
      <c r="M349" s="2">
        <f>(M$359*L349)</f>
        <v>2</v>
      </c>
    </row>
    <row r="350">
      <c r="C350" t="str">
        <v>COMBIZELL</v>
      </c>
      <c r="D350" s="1">
        <v>0.001</v>
      </c>
      <c r="E350" s="2">
        <f>(E$359*D350)</f>
        <v>1</v>
      </c>
      <c r="J350" s="5">
        <v>0.4048611111111111</v>
      </c>
      <c r="K350" t="str">
        <v>COMBIZELL</v>
      </c>
      <c r="L350" s="1">
        <v>0.001</v>
      </c>
      <c r="M350" s="2">
        <f>(M$359*L350)</f>
        <v>1</v>
      </c>
    </row>
    <row r="351">
      <c r="C351" t="str">
        <v>AGITAN 80</v>
      </c>
      <c r="D351" s="1">
        <v>0.002</v>
      </c>
      <c r="E351" s="2">
        <f>(E$359*D351)</f>
        <v>2</v>
      </c>
      <c r="J351" s="5">
        <v>0.40902777777777777</v>
      </c>
      <c r="K351" t="str">
        <v>AGITAN 80</v>
      </c>
      <c r="L351" s="1">
        <v>0.001</v>
      </c>
      <c r="M351" s="2">
        <f>(M$359*L351)</f>
        <v>1</v>
      </c>
    </row>
    <row r="352">
      <c r="A352" t="str">
        <v>Add until total homogenisation with high shear mixer</v>
      </c>
      <c r="B352" s="3" t="str">
        <v>TIONA 595</v>
      </c>
      <c r="C352" t="str">
        <v>TIONA 826</v>
      </c>
      <c r="D352" s="1">
        <v>0.106</v>
      </c>
      <c r="E352" s="2">
        <f>(E$359*D352)</f>
        <v>106</v>
      </c>
      <c r="I352" t="str">
        <v>הכנס ללא גושים ובסיום דספרסיה 5 דקות  בF 13</v>
      </c>
      <c r="J352" s="5">
        <v>0.4152777777777778</v>
      </c>
      <c r="K352" t="str">
        <v>TIONA 826</v>
      </c>
      <c r="L352" s="1">
        <v>0.106</v>
      </c>
      <c r="M352" s="2">
        <f>(M$359*L352)</f>
        <v>106</v>
      </c>
    </row>
    <row r="353">
      <c r="A353" t="str">
        <v>Add until total homogenisation with high shear mixer</v>
      </c>
      <c r="B353" s="3" t="str">
        <v>PENTAERYTHRITOL</v>
      </c>
      <c r="C353" t="str">
        <v xml:space="preserve"> CHARMOR PM 40</v>
      </c>
      <c r="D353" s="1">
        <v>0.106</v>
      </c>
      <c r="E353" s="2">
        <f>(E$359*D353)</f>
        <v>106</v>
      </c>
      <c r="I353" t="str">
        <v>הכנס ללא גושים ובסיום דספרסיה 5 דקות  בF 15</v>
      </c>
      <c r="J353" s="5">
        <v>0.42777777777777776</v>
      </c>
      <c r="K353" t="str">
        <v xml:space="preserve"> CHARMOR PM 40</v>
      </c>
      <c r="L353" s="1">
        <v>0.106</v>
      </c>
      <c r="M353" s="2">
        <f>(M$359*L353)</f>
        <v>106</v>
      </c>
    </row>
    <row r="354">
      <c r="A354" t="str">
        <v>Add until total homogenisation with high shear mixer</v>
      </c>
      <c r="B354" s="3" t="str">
        <v>MELAFINE</v>
      </c>
      <c r="C354" t="str">
        <v>MELAFINE</v>
      </c>
      <c r="D354" s="1">
        <v>0.106</v>
      </c>
      <c r="E354" s="2">
        <f>(E$359*D354)</f>
        <v>106</v>
      </c>
      <c r="I354" t="str">
        <v>הכנס ללא גושים ובסיום דספרסיה 5 דקות  בF 18</v>
      </c>
      <c r="J354" s="5">
        <v>0.4354166666666667</v>
      </c>
      <c r="K354" t="str">
        <v>MELAFINE</v>
      </c>
      <c r="L354" s="1">
        <v>0.106</v>
      </c>
      <c r="M354" s="2">
        <f>(M$359*L354)</f>
        <v>106</v>
      </c>
    </row>
    <row r="355">
      <c r="A355" t="str">
        <v>Add until total homogenisation with a reduced shear rate</v>
      </c>
      <c r="C355" s="3" t="str">
        <v>Texanol</v>
      </c>
      <c r="D355" s="1">
        <v>0.0117</v>
      </c>
      <c r="E355" s="2">
        <f>(E$359*D355)</f>
        <v>11.700000000000001</v>
      </c>
      <c r="I355" t="str">
        <v>הכנס בזרם דק עד להומוגניות  בF 15</v>
      </c>
      <c r="J355" s="5">
        <v>0.4409722222222222</v>
      </c>
      <c r="K355" s="3" t="str">
        <v>Texanol</v>
      </c>
      <c r="L355" s="1">
        <v>0.0117</v>
      </c>
      <c r="M355" s="2">
        <f>(M$359*L355)</f>
        <v>11.700000000000001</v>
      </c>
    </row>
    <row r="356" ht="28.5" customHeight="1">
      <c r="A356" t="str">
        <v>Add until total homogenisation with a reduced shear rate</v>
      </c>
      <c r="B356" s="3" t="str">
        <v>EXOLIT AP435</v>
      </c>
      <c r="C356" s="3" t="str">
        <v>EXOLIT AP435</v>
      </c>
      <c r="D356" s="1">
        <v>0.2749</v>
      </c>
      <c r="E356" s="2">
        <f>(E$359*D356)</f>
        <v>274.9</v>
      </c>
      <c r="I356" t="str">
        <v>הכנס ללא גושים  ב F18 עליה ל F21 ובסיום דספרסיה במשך 5 דקות . שים לב שלא יתחמם מידי</v>
      </c>
      <c r="J356" s="5">
        <v>0.4534722222222222</v>
      </c>
      <c r="K356" s="3" t="str">
        <v>EXOLIT AP435</v>
      </c>
      <c r="L356" s="1">
        <v>0.2749</v>
      </c>
      <c r="M356" s="2">
        <f>(M$359*L356)</f>
        <v>274.9</v>
      </c>
    </row>
    <row r="357">
      <c r="A357" t="str">
        <v>Add until total homogenisation with a reduced shear rate</v>
      </c>
      <c r="B357" s="3" t="str">
        <v>MOWILITH DM230</v>
      </c>
      <c r="C357" s="3" t="str">
        <v>ENCOR 367</v>
      </c>
      <c r="D357" s="1">
        <v>0.212</v>
      </c>
      <c r="E357" s="2">
        <f>(E$359*D357)</f>
        <v>212</v>
      </c>
      <c r="I357" t="str">
        <v>הכנס בזרם דק עד להומוגניות  בF 12</v>
      </c>
      <c r="J357" s="5">
        <v>0.4625</v>
      </c>
      <c r="K357" s="3" t="str">
        <v>ENCOR 367</v>
      </c>
      <c r="L357" s="1">
        <v>0.212</v>
      </c>
      <c r="M357" s="2">
        <f>(M$359*L357)</f>
        <v>212</v>
      </c>
    </row>
    <row r="358">
      <c r="A358" t="str">
        <v>יש להכניס תוך ערבוב ולהמשיך ערבוב איטי כ5 דקות</v>
      </c>
      <c r="C358" s="3" t="str">
        <v>AGITAN 80</v>
      </c>
      <c r="D358" s="1">
        <v>0.001</v>
      </c>
      <c r="E358" s="2">
        <f>(E$359*D358)</f>
        <v>1</v>
      </c>
      <c r="I358" t="str">
        <v>יש להכניס תוך ערבוב ולהמשיך ערבוב איטי כ5 דקות</v>
      </c>
      <c r="K358" s="3" t="str">
        <v>AGITAN 80</v>
      </c>
      <c r="L358" s="1">
        <v>0.001</v>
      </c>
      <c r="M358" s="2">
        <f>(M$359*L358)</f>
        <v>1</v>
      </c>
    </row>
    <row r="359">
      <c r="D359" s="4">
        <f>SUM(D346:D358)</f>
        <v>0.9999999999999999</v>
      </c>
      <c r="E359" s="2">
        <v>1000</v>
      </c>
      <c r="L359" s="4">
        <f>SUM(L346:L358)</f>
        <v>0.9999999999999999</v>
      </c>
      <c r="M359" s="2">
        <v>1000</v>
      </c>
    </row>
    <row r="360">
      <c r="E360" s="2">
        <f>SUM(E346:E358)</f>
        <v>1000</v>
      </c>
      <c r="M360" s="2">
        <f>SUM(M346:M358)</f>
        <v>1000</v>
      </c>
    </row>
    <row r="365">
      <c r="A365" t="str">
        <v xml:space="preserve">            29.6.2023-015     Fresco INTUMESCENT</v>
      </c>
      <c r="F365" t="str">
        <v>תאריך הכנה 2.7.23</v>
      </c>
      <c r="I365" t="str">
        <v xml:space="preserve">            29.6.2023-016     Fresco INTUMESCENT</v>
      </c>
      <c r="L365" t="str">
        <v>תאריך הכנה 3.7.23</v>
      </c>
    </row>
    <row r="366">
      <c r="A366" t="str">
        <v>על בסיס 014-  הכנה במנוע חזק - לטקס ווקר VINNAPAS EZ 3112</v>
      </c>
      <c r="I366" t="str">
        <v>על בסיס 014-  הכנה במנוע חזק - לטקס Synthomer EMULTEX FR 797</v>
      </c>
    </row>
    <row r="367">
      <c r="A367" t="str">
        <v>הוראות יצור</v>
      </c>
      <c r="B367" t="str">
        <v>שעה - הערות</v>
      </c>
      <c r="D367" t="str">
        <v>חומר</v>
      </c>
      <c r="E367" t="str">
        <v>כמות ק''ג</v>
      </c>
      <c r="F367" t="str">
        <v>כמות בפועל</v>
      </c>
      <c r="I367" t="str">
        <v>הוראות יצור</v>
      </c>
      <c r="J367" t="str">
        <v>שעה - הערות</v>
      </c>
      <c r="L367" t="str">
        <v>חומר</v>
      </c>
      <c r="M367" t="str">
        <v>כמות ק''ג</v>
      </c>
      <c r="N367" t="str">
        <v>כמות בפועל</v>
      </c>
    </row>
    <row r="368">
      <c r="A368" t="str">
        <v>הכנס חומרים לאט ופזר היטב. הפעל 5 דקות דספרסיה בין הכנסת כל חומר. וודא שאין קצף לפני המעבר לשלב הבא. עבוד במהירות בF10</v>
      </c>
      <c r="C368" t="str">
        <v>water</v>
      </c>
      <c r="D368" s="1">
        <v>0.1758</v>
      </c>
      <c r="E368" s="2">
        <f>(E$359*D368)</f>
        <v>175.8</v>
      </c>
      <c r="I368" t="str">
        <v>הכנס חומרים לאט ופזר היטב. הפעל 5 דקות דספרסיה בין הכנסת כל חומר. וודא שאין קצף לפני המעבר לשלב הבא. עבוד במהירות בF10</v>
      </c>
      <c r="K368" t="str">
        <v>water</v>
      </c>
      <c r="L368" s="1">
        <v>0.1758</v>
      </c>
      <c r="M368" s="2">
        <f>(M$359*L368)</f>
        <v>175.8</v>
      </c>
    </row>
    <row r="369">
      <c r="B369" s="5">
        <v>0.05486111111111111</v>
      </c>
      <c r="C369" t="str">
        <v>OROTAN 731</v>
      </c>
      <c r="D369" s="4">
        <v>0.0016</v>
      </c>
      <c r="E369" s="2">
        <f>(E$359*D369)</f>
        <v>1.6</v>
      </c>
      <c r="F369">
        <v>1.65</v>
      </c>
      <c r="J369" t="str">
        <v>7:51 לבדוק אם נוצר קצף</v>
      </c>
      <c r="K369" t="str">
        <v>OROTAN 731</v>
      </c>
      <c r="L369" s="4">
        <v>0.0016</v>
      </c>
      <c r="M369" s="2">
        <f>(M$359*L369)</f>
        <v>1.6</v>
      </c>
    </row>
    <row r="370">
      <c r="B370" s="5">
        <v>0.059027777777777776</v>
      </c>
      <c r="C370" t="str">
        <v>AGITAN 80</v>
      </c>
      <c r="D370" s="4">
        <v>0.001</v>
      </c>
      <c r="E370" s="2">
        <f>(E$359*D380)</f>
        <v>1</v>
      </c>
      <c r="J370" s="5">
        <v>0.3368055555555556</v>
      </c>
      <c r="K370" t="str">
        <v>AGITAN 80</v>
      </c>
      <c r="L370" s="4">
        <v>0.001</v>
      </c>
      <c r="M370" s="2">
        <f>(M$359*L380)</f>
        <v>1</v>
      </c>
    </row>
    <row r="371">
      <c r="B371" s="5">
        <v>0.0625</v>
      </c>
      <c r="C371" t="str">
        <v>Biocide CMIF</v>
      </c>
      <c r="D371" s="1">
        <v>0.002</v>
      </c>
      <c r="E371" s="2">
        <f>(E$359*D371)</f>
        <v>2</v>
      </c>
      <c r="F371">
        <v>2.21</v>
      </c>
      <c r="J371" s="5">
        <v>0.34097222222222223</v>
      </c>
      <c r="K371" t="str">
        <v>Biocide CMIF</v>
      </c>
      <c r="L371" s="1">
        <v>0.002</v>
      </c>
      <c r="M371" s="2">
        <f>(M$359*L371)</f>
        <v>2</v>
      </c>
      <c r="N371">
        <v>2.04</v>
      </c>
    </row>
    <row r="372">
      <c r="B372" s="5">
        <v>0.06805555555555555</v>
      </c>
      <c r="C372" t="str">
        <v>COMBIZELL</v>
      </c>
      <c r="D372" s="1">
        <v>0.001</v>
      </c>
      <c r="E372" s="2">
        <f>(E$359*D372)</f>
        <v>1</v>
      </c>
      <c r="J372" s="5">
        <v>0.3451388888888889</v>
      </c>
      <c r="K372" t="str">
        <v>COMBIZELL</v>
      </c>
      <c r="L372" s="1">
        <v>0.001</v>
      </c>
      <c r="M372" s="2">
        <f>(M$359*L372)</f>
        <v>1</v>
      </c>
    </row>
    <row r="373">
      <c r="B373" s="5">
        <v>0.07291666666666667</v>
      </c>
      <c r="C373" t="str">
        <v>AGITAN 80</v>
      </c>
      <c r="D373" s="1">
        <v>0.001</v>
      </c>
      <c r="E373" s="2">
        <f>(E$359*D373)</f>
        <v>1</v>
      </c>
      <c r="F373">
        <v>1.11</v>
      </c>
      <c r="J373" s="5">
        <v>0.34930555555555554</v>
      </c>
      <c r="K373" t="str">
        <v>AGITAN 80</v>
      </c>
      <c r="L373" s="1">
        <v>0.001</v>
      </c>
      <c r="M373" s="2">
        <f>(M$359*L373)</f>
        <v>1</v>
      </c>
    </row>
    <row r="374">
      <c r="A374" t="str">
        <v>הכנס ללא גושים ובסיום דספרסיה 5 דקות  בF 13</v>
      </c>
      <c r="B374" s="5">
        <v>0.07847222222222222</v>
      </c>
      <c r="C374" t="str">
        <v>TIONA 826</v>
      </c>
      <c r="D374" s="1">
        <v>0.106</v>
      </c>
      <c r="E374" s="2">
        <f>(E$359*D374)</f>
        <v>106</v>
      </c>
      <c r="I374" t="str">
        <v>הכנס ללא גושים ובסיום דספרסיה 5 דקות  בF 13</v>
      </c>
      <c r="J374" s="5">
        <v>0.35694444444444445</v>
      </c>
      <c r="K374" t="str">
        <v>TIONA 826</v>
      </c>
      <c r="L374" s="1">
        <v>0.106</v>
      </c>
      <c r="M374" s="2">
        <f>(M$359*L374)</f>
        <v>106</v>
      </c>
    </row>
    <row r="375">
      <c r="A375" t="str">
        <v>הכנס ללא גושים ובסיום דספרסיה 5 דקות  בF 15</v>
      </c>
      <c r="B375" s="5">
        <v>0.0875</v>
      </c>
      <c r="C375" t="str">
        <v xml:space="preserve"> CHARMOR PM 40</v>
      </c>
      <c r="D375" s="1">
        <v>0.106</v>
      </c>
      <c r="E375" s="2">
        <f>(E$359*D375)</f>
        <v>106</v>
      </c>
      <c r="I375" t="str">
        <v>הכנס ללא גושים ובסיום דספרסיה 5 דקות  בF 15</v>
      </c>
      <c r="J375" s="5">
        <v>0.3659722222222222</v>
      </c>
      <c r="K375" t="str">
        <v xml:space="preserve"> CHARMOR PM 40</v>
      </c>
      <c r="L375" s="1">
        <v>0.106</v>
      </c>
      <c r="M375" s="2">
        <f>(M$359*L375)</f>
        <v>106</v>
      </c>
    </row>
    <row r="376">
      <c r="A376" t="str">
        <v>הכנס ללא גושים ובסיום דספרסיה 5 דקות  בF 18</v>
      </c>
      <c r="B376" s="5">
        <v>0.09444444444444444</v>
      </c>
      <c r="C376" t="str">
        <v>MELAFINE</v>
      </c>
      <c r="D376" s="1">
        <v>0.106</v>
      </c>
      <c r="E376" s="2">
        <f>(E$359*D376)</f>
        <v>106</v>
      </c>
      <c r="I376" t="str">
        <v>הכנס ללא גושים ובסיום דספרסיה 5 דקות  בF 18</v>
      </c>
      <c r="J376" s="5">
        <v>0.37222222222222223</v>
      </c>
      <c r="K376" t="str">
        <v>MELAFINE</v>
      </c>
      <c r="L376" s="1">
        <v>0.106</v>
      </c>
      <c r="M376" s="2">
        <f>(M$359*L376)</f>
        <v>106</v>
      </c>
    </row>
    <row r="377">
      <c r="A377" t="str">
        <v>הכנס בזרם דק עד להומוגניות  בF 15</v>
      </c>
      <c r="B377" s="5">
        <v>0.09861111111111111</v>
      </c>
      <c r="C377" s="3" t="str">
        <v>Texanol</v>
      </c>
      <c r="D377" s="1">
        <v>0.0117</v>
      </c>
      <c r="E377" s="2">
        <f>(E$359*D377)</f>
        <v>11.700000000000001</v>
      </c>
      <c r="F377">
        <v>12.07</v>
      </c>
      <c r="I377" t="str">
        <v>הכנס בזרם דק עד להומוגניות  בF 15</v>
      </c>
      <c r="J377" s="5">
        <v>0.3763888888888889</v>
      </c>
      <c r="K377" s="3" t="str">
        <v>Texanol</v>
      </c>
      <c r="L377" s="1">
        <v>0.0117</v>
      </c>
      <c r="M377" s="2">
        <f>(M$359*L377)</f>
        <v>11.700000000000001</v>
      </c>
      <c r="N377">
        <v>11.68</v>
      </c>
    </row>
    <row r="378" ht="27.600000000000005" customHeight="1">
      <c r="A378" t="str">
        <v>הכנס ללא גושים  ב F18 עליה ל F21 ובסיום דספרסיה במשך 5 דקות . שים לב שלא יתחמם מידי</v>
      </c>
      <c r="B378" s="5">
        <v>0.1076388888888889</v>
      </c>
      <c r="C378" s="3" t="str">
        <v>EXOLIT AP435</v>
      </c>
      <c r="D378" s="1">
        <v>0.2749</v>
      </c>
      <c r="E378" s="2">
        <f>(E$359*D378)</f>
        <v>274.9</v>
      </c>
      <c r="I378" t="str">
        <v>הכנס ללא גושים  ב F18 עליה ל F21 ובסיום דספרסיה במשך 5 דקות . שים לב שלא יתחמם מידי</v>
      </c>
      <c r="J378" s="5">
        <v>0.3840277777777778</v>
      </c>
      <c r="K378" s="3" t="str">
        <v>EXOLIT AP435</v>
      </c>
      <c r="L378" s="1">
        <v>0.2749</v>
      </c>
      <c r="M378" s="2">
        <f>(M$359*L378)</f>
        <v>274.9</v>
      </c>
    </row>
    <row r="379">
      <c r="A379" t="str">
        <v xml:space="preserve">הכנס בזרם דק עד להומוגניות  בF 12 </v>
      </c>
      <c r="B379" s="5">
        <v>0.11527777777777778</v>
      </c>
      <c r="C379" s="3" t="str">
        <v>VINNAPAS EZ 3112</v>
      </c>
      <c r="D379" s="1">
        <v>0.212</v>
      </c>
      <c r="E379" s="2">
        <f>(E$359*D379)</f>
        <v>212</v>
      </c>
      <c r="I379" t="str">
        <v>הכנס בזרם דק עד להומוגניות  בF 12</v>
      </c>
      <c r="K379" s="3" t="str">
        <v>EMULTEX FR 797</v>
      </c>
      <c r="L379" s="1">
        <v>0.212</v>
      </c>
      <c r="M379" s="2">
        <f>(M$359*L379)</f>
        <v>212</v>
      </c>
      <c r="N379">
        <v>212.27</v>
      </c>
    </row>
    <row r="380">
      <c r="A380" t="str">
        <v>יש להכניס תוך ערבוב ולהמשיך ערבוב איטי כ5 דקות</v>
      </c>
      <c r="B380" s="5">
        <v>0.12013888888888889</v>
      </c>
      <c r="C380" s="3" t="str">
        <v>AGITAN 80</v>
      </c>
      <c r="D380" s="1">
        <v>0.001</v>
      </c>
      <c r="E380" s="2">
        <f>(E$359*D380)</f>
        <v>1</v>
      </c>
      <c r="I380" t="str">
        <v>יש להכניס תוך ערבוב ולהמשיך ערבוב איטי כ5 דקות</v>
      </c>
      <c r="K380" s="3" t="str">
        <v>AGITAN 80</v>
      </c>
      <c r="L380" s="1">
        <v>0.001</v>
      </c>
      <c r="M380" s="2">
        <f>(M$359*L380)</f>
        <v>1</v>
      </c>
      <c r="N380">
        <v>1.09</v>
      </c>
    </row>
    <row r="381">
      <c r="D381" s="4">
        <f>SUM(D368:D380)</f>
        <v>0.9999999999999999</v>
      </c>
      <c r="E381" s="2">
        <v>1000</v>
      </c>
      <c r="L381" s="4">
        <f>SUM(L368:L380)</f>
        <v>0.9999999999999999</v>
      </c>
      <c r="M381" s="2">
        <v>1000</v>
      </c>
    </row>
    <row r="382">
      <c r="E382" s="2">
        <f>SUM(E368:E380)</f>
        <v>1000</v>
      </c>
      <c r="M382" s="2">
        <f>SUM(M368:M380)</f>
        <v>1000</v>
      </c>
    </row>
    <row r="386">
      <c r="A386" t="str">
        <v xml:space="preserve">            29.6.2023-017     Fresco INTUMESCENT</v>
      </c>
      <c r="E386" t="str">
        <v>תאריך הכנה:3.7.23</v>
      </c>
      <c r="I386" t="str">
        <v xml:space="preserve">           17.7.2023-018     Fresco INTUMESCENT</v>
      </c>
    </row>
    <row r="387">
      <c r="A387" t="str">
        <v xml:space="preserve">על בסיס 014-  הכנה במנוע חזק - לטקס ENCOR 2394 ARKEMA </v>
      </c>
      <c r="I387" t="str">
        <v>ג על בסיס מרשם  014 - עם FR CROS 584</v>
      </c>
    </row>
    <row r="388">
      <c r="A388" t="str">
        <v>הוראות יצור</v>
      </c>
      <c r="B388" t="str">
        <v>שעה - הערות</v>
      </c>
      <c r="D388" t="str">
        <v>חומר</v>
      </c>
      <c r="E388" t="str">
        <v>כמות ק''ג</v>
      </c>
      <c r="F388" t="str">
        <v>כמות בפועל</v>
      </c>
      <c r="I388" t="str">
        <v>הוראות יצור</v>
      </c>
      <c r="J388" t="str">
        <v>שעה - הערות</v>
      </c>
      <c r="L388" t="str">
        <v>חומר</v>
      </c>
      <c r="M388" t="str">
        <v>כמות ק''ג</v>
      </c>
      <c r="N388" t="str">
        <v>כמות בפועל</v>
      </c>
    </row>
    <row r="389">
      <c r="A389" t="str">
        <v>הכנס חומרים לאט ופזר היטב. הפעל 5 דקות דספרסיה בין הכנסת כל חומר. וודא שאין קצף לפני המעבר לשלב הבא. עבוד במהירות בF10</v>
      </c>
      <c r="C389" t="str">
        <v>water</v>
      </c>
      <c r="D389" s="1">
        <v>0.1758</v>
      </c>
      <c r="E389" s="2">
        <f>(E$359*D389)</f>
        <v>175.8</v>
      </c>
      <c r="I389" t="str">
        <v>הכנס חומרים לאט ופזר היטב. הפעל 5 דקות דספרסיה בין הכנסת כל חומר. וודא שאין קצף לפני המעבר לשלב הבא. עבוד במהירות בF10</v>
      </c>
      <c r="K389" t="str">
        <v>water</v>
      </c>
      <c r="L389" s="1">
        <v>0.1758</v>
      </c>
      <c r="M389" s="2">
        <f>(M$359*L389)</f>
        <v>175.8</v>
      </c>
    </row>
    <row r="390">
      <c r="B390" s="5">
        <v>0.41458333333333336</v>
      </c>
      <c r="C390" t="str">
        <v>OROTAN 731</v>
      </c>
      <c r="D390" s="4">
        <v>0.0016</v>
      </c>
      <c r="E390" s="2">
        <f>(E$359*D390)</f>
        <v>1.6</v>
      </c>
      <c r="J390" s="5">
        <v>0.3840277777777778</v>
      </c>
      <c r="K390" t="str">
        <v>OROTAN 731</v>
      </c>
      <c r="L390" s="4">
        <v>0.0016</v>
      </c>
      <c r="M390" s="2">
        <f>(M$359*L390)</f>
        <v>1.6</v>
      </c>
      <c r="N390">
        <v>1.78</v>
      </c>
    </row>
    <row r="391">
      <c r="B391" s="5">
        <v>0.41875</v>
      </c>
      <c r="C391" t="str">
        <v>AGITAN 80</v>
      </c>
      <c r="D391" s="4">
        <v>0.001</v>
      </c>
      <c r="E391" s="2">
        <f>(E$359*D401)</f>
        <v>1</v>
      </c>
      <c r="F391">
        <v>1.06</v>
      </c>
      <c r="J391" s="5">
        <v>0.38819444444444445</v>
      </c>
      <c r="K391" t="str">
        <v>AGITAN 80</v>
      </c>
      <c r="L391" s="4">
        <v>0.001</v>
      </c>
      <c r="M391" s="2">
        <f>(M$359*L401)</f>
        <v>1</v>
      </c>
    </row>
    <row r="392">
      <c r="B392" s="5">
        <v>0.41944444444444445</v>
      </c>
      <c r="C392" t="str">
        <v>Biocide CMIF</v>
      </c>
      <c r="D392" s="1">
        <v>0.002</v>
      </c>
      <c r="E392" s="2">
        <f>(E$359*D392)</f>
        <v>2</v>
      </c>
      <c r="F392">
        <v>2.03</v>
      </c>
      <c r="J392" s="5">
        <v>0.3923611111111111</v>
      </c>
      <c r="K392" t="str">
        <v>Biocide CMIF</v>
      </c>
      <c r="L392" s="1">
        <v>0.002</v>
      </c>
      <c r="M392" s="2">
        <f>(M$359*L392)</f>
        <v>2</v>
      </c>
      <c r="N392">
        <v>2.24</v>
      </c>
    </row>
    <row r="393">
      <c r="B393" s="5">
        <v>0.4270833333333333</v>
      </c>
      <c r="C393" t="str">
        <v>COMBIZELL</v>
      </c>
      <c r="D393" s="1">
        <v>0.001</v>
      </c>
      <c r="E393" s="2">
        <f>(E$359*D393)</f>
        <v>1</v>
      </c>
      <c r="J393" s="5">
        <v>0.39652777777777776</v>
      </c>
      <c r="K393" t="str">
        <v>COMBIZELL</v>
      </c>
      <c r="L393" s="1">
        <v>0.001</v>
      </c>
      <c r="M393" s="2">
        <f>(M$359*L393)</f>
        <v>1</v>
      </c>
    </row>
    <row r="394">
      <c r="B394" s="5">
        <v>0.43125</v>
      </c>
      <c r="C394" t="str">
        <v>AGITAN 80</v>
      </c>
      <c r="D394" s="1">
        <v>0.001</v>
      </c>
      <c r="E394" s="2">
        <f>(E$359*D394)</f>
        <v>1</v>
      </c>
      <c r="F394">
        <v>1.01</v>
      </c>
      <c r="J394" s="5">
        <v>0.40069444444444446</v>
      </c>
      <c r="K394" t="str">
        <v>AGITAN 80</v>
      </c>
      <c r="L394" s="1">
        <v>0.001</v>
      </c>
      <c r="M394" s="2">
        <f>(M$359*L394)</f>
        <v>1</v>
      </c>
    </row>
    <row r="395">
      <c r="A395" t="str">
        <v>הכנס ללא גושים ובסיום דספרסיה 5 דקות  בF 13</v>
      </c>
      <c r="B395" s="5">
        <v>0.4375</v>
      </c>
      <c r="C395" t="str">
        <v>TIONA 826</v>
      </c>
      <c r="D395" s="1">
        <v>0.106</v>
      </c>
      <c r="E395" s="2">
        <f>(E$359*D395)</f>
        <v>106</v>
      </c>
      <c r="I395" t="str">
        <v>הכנס ללא גושים ובסיום דספרסיה 5 דקות  בF 13</v>
      </c>
      <c r="J395" s="5">
        <v>0.40625</v>
      </c>
      <c r="K395" t="str">
        <v>TIONA 826</v>
      </c>
      <c r="L395" s="1">
        <v>0.106</v>
      </c>
      <c r="M395" s="2">
        <f>(M$359*L395)</f>
        <v>106</v>
      </c>
    </row>
    <row r="396">
      <c r="A396" t="str">
        <v>הכנס ללא גושים ובסיום דספרסיה 5 דקות  בF 15</v>
      </c>
      <c r="B396" s="5">
        <v>0.44583333333333336</v>
      </c>
      <c r="C396" t="str">
        <v xml:space="preserve"> CHARMOR PM 40</v>
      </c>
      <c r="D396" s="1">
        <v>0.106</v>
      </c>
      <c r="E396" s="2">
        <f>(E$359*D396)</f>
        <v>106</v>
      </c>
      <c r="I396" t="str">
        <v>הכנס ללא גושים ובסיום דספרסיה 5 דקות  בF 15</v>
      </c>
      <c r="J396" s="5">
        <v>0.4131944444444444</v>
      </c>
      <c r="K396" t="str">
        <v xml:space="preserve"> CHARMOR PM 40</v>
      </c>
      <c r="L396" s="1">
        <v>0.106</v>
      </c>
      <c r="M396" s="2">
        <f>(M$359*L396)</f>
        <v>106</v>
      </c>
    </row>
    <row r="397">
      <c r="A397" t="str">
        <v>הכנס ללא גושים ובסיום דספרסיה 5 דקות  בF 18</v>
      </c>
      <c r="B397" s="5">
        <v>0.45069444444444445</v>
      </c>
      <c r="C397" t="str">
        <v>MELAFINE</v>
      </c>
      <c r="D397" s="1">
        <v>0.106</v>
      </c>
      <c r="E397" s="2">
        <f>(E$359*D397)</f>
        <v>106</v>
      </c>
      <c r="I397" t="str">
        <v>הכנס ללא גושים ובסיום דספרסיה 5 דקות  בF 18</v>
      </c>
      <c r="J397" s="5">
        <v>0.41875</v>
      </c>
      <c r="K397" t="str">
        <v>MELAFINE</v>
      </c>
      <c r="L397" s="1">
        <v>0.106</v>
      </c>
      <c r="M397" s="2">
        <f>(M$359*L397)</f>
        <v>106</v>
      </c>
    </row>
    <row r="398">
      <c r="A398" t="str">
        <v>הכנס בזרם דק עד להומוגניות  בF 15</v>
      </c>
      <c r="B398" s="5">
        <v>0.45555555555555555</v>
      </c>
      <c r="C398" s="3" t="str">
        <v>Texanol</v>
      </c>
      <c r="D398" s="1">
        <v>0.0117</v>
      </c>
      <c r="E398" s="2">
        <f>(E$359*D398)</f>
        <v>11.700000000000001</v>
      </c>
      <c r="F398">
        <v>11.79</v>
      </c>
      <c r="I398" t="str">
        <v>הכנס בזרם דק עד להומוגניות  בF 15</v>
      </c>
      <c r="J398" s="5">
        <v>0.42430555555555555</v>
      </c>
      <c r="K398" s="3" t="str">
        <v>Texanol</v>
      </c>
      <c r="L398" s="1">
        <v>0.0117</v>
      </c>
      <c r="M398" s="2">
        <f>(M$359*L398)</f>
        <v>11.700000000000001</v>
      </c>
      <c r="N398">
        <v>11.85</v>
      </c>
    </row>
    <row r="399" ht="27.600000000000005" customHeight="1">
      <c r="A399" t="str">
        <v>הכנס ללא גושים  ב F18 עליה ל F21 ובסיום דספרסיה במשך 5 דקות . שים לב שלא יתחמם מידי</v>
      </c>
      <c r="B399" s="5">
        <v>0.46319444444444446</v>
      </c>
      <c r="C399" s="3" t="str">
        <v>EXOLIT AP435</v>
      </c>
      <c r="D399" s="1">
        <v>0.2749</v>
      </c>
      <c r="E399" s="2">
        <f>(E$359*D399)</f>
        <v>274.9</v>
      </c>
      <c r="I399" t="str">
        <v>הכנס ללא גושים  ב F18 עליה ל F21 ובסיום דספרסיה במשך 5 דקות . שים לב שלא יתחמם מידי</v>
      </c>
      <c r="J399" s="5">
        <v>0.43125</v>
      </c>
      <c r="K399" s="3" t="str">
        <v>FR CROS 584</v>
      </c>
      <c r="L399" s="1">
        <v>0.2749</v>
      </c>
      <c r="M399" s="2">
        <f>(M$359*L399)</f>
        <v>274.9</v>
      </c>
    </row>
    <row r="400">
      <c r="A400" t="str">
        <v>הכנס בזרם דק עד להומוגניות  בF 12</v>
      </c>
      <c r="B400" s="5">
        <v>0.4708333333333333</v>
      </c>
      <c r="C400" s="3" t="str">
        <v>ENCOR 2394</v>
      </c>
      <c r="D400" s="1">
        <v>0.212</v>
      </c>
      <c r="E400" s="2">
        <f>(E$359*D400)</f>
        <v>212</v>
      </c>
      <c r="F400">
        <v>212.05</v>
      </c>
      <c r="I400" t="str">
        <v>הכנס בזרם דק עד להומוגניות  בF 12</v>
      </c>
      <c r="J400" s="5">
        <v>0.4354166666666667</v>
      </c>
      <c r="K400" s="3" t="str">
        <v>ENCOR 367</v>
      </c>
      <c r="L400" s="1">
        <v>0.212</v>
      </c>
      <c r="M400" s="2">
        <f>(M$359*L400)</f>
        <v>212</v>
      </c>
      <c r="N400">
        <v>212.25</v>
      </c>
    </row>
    <row r="401">
      <c r="A401" t="str">
        <v>יש להכניס תוך ערבוב ולהמשיך ערבוב איטי כ5 דקות</v>
      </c>
      <c r="B401" s="5">
        <v>0.475</v>
      </c>
      <c r="C401" s="3" t="str">
        <v>AGITAN 80</v>
      </c>
      <c r="D401" s="1">
        <v>0.001</v>
      </c>
      <c r="E401" s="2">
        <f>(E$359*D401)</f>
        <v>1</v>
      </c>
      <c r="F401">
        <v>1.03</v>
      </c>
      <c r="I401" t="str">
        <v>יש להכניס תוך ערבוב ולהמשיך ערבוב איטי כ5 דקות</v>
      </c>
      <c r="J401" s="5">
        <v>0.4395833333333333</v>
      </c>
      <c r="K401" s="3" t="str">
        <v>AGITAN 80</v>
      </c>
      <c r="L401" s="1">
        <v>0.001</v>
      </c>
      <c r="M401" s="2">
        <f>(M$359*L401)</f>
        <v>1</v>
      </c>
      <c r="N401">
        <v>1.03</v>
      </c>
    </row>
    <row r="402">
      <c r="D402" s="4">
        <f>SUM(D389:D401)</f>
        <v>0.9999999999999999</v>
      </c>
      <c r="E402" s="2">
        <v>1000</v>
      </c>
      <c r="L402" s="4">
        <f>SUM(L389:L401)</f>
        <v>0.9999999999999999</v>
      </c>
      <c r="M402" s="2">
        <v>1000</v>
      </c>
    </row>
    <row r="403">
      <c r="E403" s="2">
        <f>SUM(E389:E401)</f>
        <v>1000</v>
      </c>
      <c r="M403" s="2">
        <f>SUM(M389:M401)</f>
        <v>1000</v>
      </c>
    </row>
    <row r="409">
      <c r="A409" t="str">
        <v xml:space="preserve">              15.3.2023-020     Fresco INTUMESCENT</v>
      </c>
    </row>
    <row r="410">
      <c r="A410" t="str">
        <v>על בסיס 011-  מסמיך קסנטם גם + אמולטקס 797 - על פי  תיקוני קלאוס</v>
      </c>
      <c r="I410" t="str">
        <v xml:space="preserve">           17.7.2023-019     Fresco INTUMESCENT</v>
      </c>
    </row>
    <row r="411">
      <c r="A411" t="str">
        <v>הוראות יצור</v>
      </c>
      <c r="B411" t="str">
        <v>שעה</v>
      </c>
      <c r="C411" t="str">
        <v xml:space="preserve">המלצות </v>
      </c>
      <c r="D411" t="str">
        <v>חומר</v>
      </c>
      <c r="E411" t="str">
        <v>אחוז</v>
      </c>
      <c r="F411" t="str">
        <v>כמות ק''ג</v>
      </c>
      <c r="G411" t="str">
        <v>כמות בפועל</v>
      </c>
      <c r="I411" t="str">
        <v>ג על בסיס מרשם  014 - עם FR CROS 487</v>
      </c>
    </row>
    <row r="412">
      <c r="C412" t="str">
        <v>water</v>
      </c>
      <c r="D412" t="str">
        <v>water</v>
      </c>
      <c r="E412" s="1">
        <v>0.1753</v>
      </c>
      <c r="F412" s="2">
        <f>(F$425*E412)</f>
        <v>175.3</v>
      </c>
      <c r="I412" t="str">
        <v>הוראות יצור</v>
      </c>
      <c r="J412" t="str">
        <v>שעה - הערות</v>
      </c>
      <c r="L412" t="str">
        <v>חומר</v>
      </c>
      <c r="M412" t="str">
        <v>כמות ק''ג</v>
      </c>
      <c r="N412" t="str">
        <v>כמות בפועל</v>
      </c>
    </row>
    <row r="413">
      <c r="A413" t="str">
        <v>5 min HIGH SHEAR</v>
      </c>
      <c r="C413" t="str">
        <v>OROTAN 1124</v>
      </c>
      <c r="D413" t="str">
        <v>OROTAN 731</v>
      </c>
      <c r="E413" s="4">
        <v>0.002</v>
      </c>
      <c r="F413" s="2">
        <f>F$425*E413</f>
        <v>2</v>
      </c>
      <c r="G413">
        <v>2.21</v>
      </c>
      <c r="I413" t="str">
        <v>הכנס חומרים לאט ופזר היטב. הפעל 5 דקות דספרסיה בין הכנסת כל חומר. וודא שאין קצף לפני המעבר לשלב הבא. עבוד במהירות בF10</v>
      </c>
      <c r="K413" t="str">
        <v>water</v>
      </c>
      <c r="L413" s="1">
        <v>0.1758</v>
      </c>
      <c r="M413" s="2">
        <f>(M$359*L413)</f>
        <v>175.8</v>
      </c>
    </row>
    <row r="414">
      <c r="B414" s="5">
        <v>0.08680555555555555</v>
      </c>
      <c r="D414" t="str">
        <v>Biocide CMIF</v>
      </c>
      <c r="E414" s="1">
        <v>0.002</v>
      </c>
      <c r="F414" s="2">
        <f>(F$425*E414)</f>
        <v>2</v>
      </c>
      <c r="J414" s="5">
        <v>0.45416666666666666</v>
      </c>
      <c r="K414" t="str">
        <v>OROTAN 731</v>
      </c>
      <c r="L414" s="4">
        <v>0.0016</v>
      </c>
      <c r="M414" s="2">
        <f>(M$359*L414)</f>
        <v>1.6</v>
      </c>
      <c r="N414">
        <v>1.62</v>
      </c>
    </row>
    <row r="415">
      <c r="A415" t="str">
        <v xml:space="preserve"> 5 min Mix well</v>
      </c>
      <c r="B415" s="5">
        <v>0.09166666666666666</v>
      </c>
      <c r="D415" t="str">
        <v>AGITAN 80</v>
      </c>
      <c r="E415" s="1">
        <v>0.001</v>
      </c>
      <c r="F415" s="2">
        <f>(F$425*E415)</f>
        <v>1</v>
      </c>
      <c r="J415" s="5">
        <v>0.4583333333333333</v>
      </c>
      <c r="K415" t="str">
        <v>AGITAN 80</v>
      </c>
      <c r="L415" s="4">
        <v>0.001</v>
      </c>
      <c r="M415" s="2">
        <f>(M$359*L425)</f>
        <v>1</v>
      </c>
    </row>
    <row r="416">
      <c r="A416" t="str">
        <v>5 min HIGH SHEAR</v>
      </c>
      <c r="B416" s="5">
        <v>0.09583333333333334</v>
      </c>
      <c r="C416" s="3" t="str">
        <v>KELZAN AR</v>
      </c>
      <c r="D416" t="str">
        <v>XANTHAN</v>
      </c>
      <c r="E416" s="1">
        <v>0.001</v>
      </c>
      <c r="F416" s="2">
        <f>(F$425*E416)</f>
        <v>1</v>
      </c>
      <c r="J416" s="5">
        <v>0.4625</v>
      </c>
      <c r="K416" t="str">
        <v>Biocide CMIF</v>
      </c>
      <c r="L416" s="1">
        <v>0.002</v>
      </c>
      <c r="M416" s="2">
        <f>(M$359*L416)</f>
        <v>2</v>
      </c>
    </row>
    <row r="417">
      <c r="A417" t="str">
        <v>Mix well</v>
      </c>
      <c r="C417" s="3" t="str">
        <v>-</v>
      </c>
      <c r="D417" t="str">
        <v>AGITAN 80</v>
      </c>
      <c r="E417" s="1">
        <v>0.001</v>
      </c>
      <c r="F417" s="2">
        <f>(F$426*E417)</f>
        <v>1</v>
      </c>
      <c r="J417" s="5">
        <v>0.4666666666666667</v>
      </c>
      <c r="K417" t="str">
        <v>COMBIZELL</v>
      </c>
      <c r="L417" s="1">
        <v>0.001</v>
      </c>
      <c r="M417" s="2">
        <f>(M$359*L417)</f>
        <v>1</v>
      </c>
    </row>
    <row r="418">
      <c r="A418" t="str">
        <v>Add until total homogenisation with high shear mixer</v>
      </c>
      <c r="B418" s="5">
        <v>0.10138888888888889</v>
      </c>
      <c r="C418" s="3" t="str">
        <v>TIONA 595</v>
      </c>
      <c r="D418" t="str">
        <v>TIONA 826</v>
      </c>
      <c r="E418" s="1">
        <v>0.106</v>
      </c>
      <c r="F418" s="2">
        <f>(F$425*E418)</f>
        <v>106</v>
      </c>
      <c r="J418" s="5">
        <v>0.4708333333333333</v>
      </c>
      <c r="K418" t="str">
        <v>AGITAN 80</v>
      </c>
      <c r="L418" s="1">
        <v>0.001</v>
      </c>
      <c r="M418" s="2">
        <f>(M$359*L418)</f>
        <v>1</v>
      </c>
      <c r="N418">
        <v>1.05</v>
      </c>
    </row>
    <row r="419">
      <c r="A419" t="str">
        <v>Add until total homogenisation with high shear mixer</v>
      </c>
      <c r="B419" s="5">
        <v>0.1076388888888889</v>
      </c>
      <c r="C419" s="3" t="str">
        <v>PENTAERYTHRITOL</v>
      </c>
      <c r="D419" t="str">
        <v xml:space="preserve"> CHARMOR PM 40</v>
      </c>
      <c r="E419" s="1">
        <v>0.106</v>
      </c>
      <c r="F419" s="2">
        <f>(F$425*E419)</f>
        <v>106</v>
      </c>
      <c r="I419" t="str">
        <v>הכנס ללא גושים ובסיום דספרסיה 5 דקות  בF 13</v>
      </c>
      <c r="J419" s="5">
        <v>0.4756944444444444</v>
      </c>
      <c r="K419" t="str">
        <v>TIONA 826</v>
      </c>
      <c r="L419" s="1">
        <v>0.106</v>
      </c>
      <c r="M419" s="2">
        <f>(M$359*L419)</f>
        <v>106</v>
      </c>
    </row>
    <row r="420">
      <c r="A420" t="str">
        <v>Add until total homogenisation with high shear mixer</v>
      </c>
      <c r="B420" s="5">
        <v>0.11388888888888889</v>
      </c>
      <c r="C420" s="3" t="str">
        <v>MELAFINE</v>
      </c>
      <c r="D420" t="str">
        <v>MELAFINE</v>
      </c>
      <c r="E420" s="1">
        <v>0.106</v>
      </c>
      <c r="F420" s="2">
        <f>(F$425*E420)</f>
        <v>106</v>
      </c>
      <c r="I420" t="str">
        <v>הכנס ללא גושים ובסיום דספרסיה 5 דקות  בF 15</v>
      </c>
      <c r="J420" s="5">
        <v>0.4826388888888889</v>
      </c>
      <c r="K420" t="str">
        <v xml:space="preserve"> CHARMOR PM 40</v>
      </c>
      <c r="L420" s="1">
        <v>0.106</v>
      </c>
      <c r="M420" s="2">
        <f>(M$359*L420)</f>
        <v>106</v>
      </c>
    </row>
    <row r="421">
      <c r="A421" t="str">
        <v>Add until total homogenisation with a reduced shear rate</v>
      </c>
      <c r="B421" s="5">
        <v>0.11805555555555555</v>
      </c>
      <c r="D421" s="3" t="str">
        <v>Texanol</v>
      </c>
      <c r="E421" s="1">
        <v>0.0117</v>
      </c>
      <c r="F421" s="2">
        <f>(F$426*E421)</f>
        <v>11.700000000000001</v>
      </c>
      <c r="G421">
        <v>12.05</v>
      </c>
      <c r="I421" t="str">
        <v>הכנס ללא גושים ובסיום דספרסיה 5 דקות  בF 18</v>
      </c>
      <c r="J421" s="5">
        <v>0.48819444444444443</v>
      </c>
      <c r="K421" t="str">
        <v>MELAFINE</v>
      </c>
      <c r="L421" s="1">
        <v>0.106</v>
      </c>
      <c r="M421" s="2">
        <f>(M$359*L421)</f>
        <v>106</v>
      </c>
      <c r="N421">
        <v>106.6</v>
      </c>
    </row>
    <row r="422">
      <c r="A422" t="str">
        <v>Add until total homogenisation with a reduced shear rate</v>
      </c>
      <c r="B422" s="5">
        <v>0.12777777777777777</v>
      </c>
      <c r="C422" s="3" t="str">
        <v>EXOLIT AP435</v>
      </c>
      <c r="D422" s="3" t="str">
        <v>EXOLIT AP435</v>
      </c>
      <c r="E422" s="1">
        <v>0.275</v>
      </c>
      <c r="F422" s="2">
        <f>(F$426*E422)</f>
        <v>275</v>
      </c>
      <c r="I422" t="str">
        <v>הכנס בזרם דק עד להומוגניות  בF 15</v>
      </c>
      <c r="J422" s="5">
        <v>0.4930555555555556</v>
      </c>
      <c r="K422" s="3" t="str">
        <v>Texanol</v>
      </c>
      <c r="L422" s="1">
        <v>0.0117</v>
      </c>
      <c r="M422" s="2">
        <f>(M$359*L422)</f>
        <v>11.700000000000001</v>
      </c>
      <c r="N422">
        <v>11.76</v>
      </c>
    </row>
    <row r="423" ht="33" customHeight="1">
      <c r="A423" t="str">
        <v xml:space="preserve">  5 min Mix well</v>
      </c>
      <c r="B423" s="5">
        <v>0.13125</v>
      </c>
      <c r="D423" s="3" t="str">
        <v>AGITAN 80</v>
      </c>
      <c r="E423" s="1">
        <v>0.001</v>
      </c>
      <c r="F423" s="2">
        <f>(F$426*E423)</f>
        <v>1</v>
      </c>
      <c r="I423" t="str">
        <v>הכנס ללא גושים  ב F18 עליה ל F21 ובסיום דספרסיה במשך 5 דקות . שים לב שלא יתחמם מידי</v>
      </c>
      <c r="J423" s="5">
        <v>0.49583333333333335</v>
      </c>
      <c r="K423" s="3" t="str">
        <v>FR CROS 487</v>
      </c>
      <c r="L423" s="1">
        <v>0.2749</v>
      </c>
      <c r="M423" s="2">
        <f>(M$359*L423)</f>
        <v>274.9</v>
      </c>
    </row>
    <row r="424">
      <c r="A424" t="str">
        <v>Add until total homogenisation with a reduced shear rate</v>
      </c>
      <c r="C424" s="3" t="str">
        <v>MOWILITH DM230</v>
      </c>
      <c r="D424" s="3" t="str">
        <v>Emultex FR 797</v>
      </c>
      <c r="E424" s="1">
        <v>0.212</v>
      </c>
      <c r="F424" s="2">
        <f>(F$425*E424)</f>
        <v>212</v>
      </c>
      <c r="G424">
        <v>212.56</v>
      </c>
      <c r="I424" t="str">
        <v>הכנס בזרם דק עד להומוגניות  בF 12</v>
      </c>
      <c r="J424" s="5">
        <v>0.5034722222222222</v>
      </c>
      <c r="K424" s="3" t="str">
        <v>ENCOR 367</v>
      </c>
      <c r="L424" s="1">
        <v>0.212</v>
      </c>
      <c r="M424" s="2">
        <f>(M$359*L424)</f>
        <v>212</v>
      </c>
      <c r="N424">
        <v>212.5</v>
      </c>
    </row>
    <row r="425">
      <c r="E425" s="4">
        <f>SUM(E412:E424)</f>
        <v>1</v>
      </c>
      <c r="F425" s="2">
        <v>1000</v>
      </c>
      <c r="I425" t="str">
        <v>יש להכניס תוך ערבוב ולהמשיך ערבוב איטי כ5 דקות</v>
      </c>
      <c r="J425" s="5">
        <v>0.5083333333333333</v>
      </c>
      <c r="K425" s="3" t="str">
        <v>AGITAN 80</v>
      </c>
      <c r="L425" s="1">
        <v>0.001</v>
      </c>
      <c r="M425" s="2">
        <f>(M$359*L425)</f>
        <v>1</v>
      </c>
    </row>
    <row r="426">
      <c r="A426" t="str">
        <v>אגיטן נכנס אחרי טקסנול 2:55</v>
      </c>
      <c r="F426" s="2">
        <v>1000</v>
      </c>
      <c r="L426" s="4">
        <f>SUM(L413:L425)</f>
        <v>0.9999999999999999</v>
      </c>
      <c r="M426" s="2">
        <v>1000</v>
      </c>
    </row>
    <row r="427">
      <c r="M427" s="2">
        <f>SUM(M413:M425)</f>
        <v>1000</v>
      </c>
    </row>
    <row r="432">
      <c r="A432" t="str">
        <v xml:space="preserve">            18.7.2023-021     Fresco INTUMESCENT</v>
      </c>
      <c r="D432" t="str">
        <v>תאריך הכנה: 18.7.23</v>
      </c>
      <c r="I432" t="str">
        <v xml:space="preserve">            19.7.2023-022     Fresco INTUMESCENT</v>
      </c>
    </row>
    <row r="433">
      <c r="A433" t="str">
        <v>על בסיס 016-   Synthomer EMULTEX FR 797 + הקטנת לטקס ומסמיך + סיבים  Lapinus CF 10</v>
      </c>
      <c r="I433" t="str">
        <v>על בסיס 015-   VINNAPAS EZ 3112+ הקטנת לטקס ומסמיך + סיבים  Lapinus CF 10</v>
      </c>
    </row>
    <row r="434">
      <c r="A434" t="str">
        <v>הוראות יצור</v>
      </c>
      <c r="B434" t="str">
        <v>שעה - הערות</v>
      </c>
      <c r="D434" t="str">
        <v>חומר</v>
      </c>
      <c r="E434" t="str">
        <v>כמות ק''ג</v>
      </c>
      <c r="F434" t="str">
        <v>כמות בפועל</v>
      </c>
      <c r="I434" t="str">
        <v>הוראות יצור</v>
      </c>
      <c r="J434" t="str">
        <v>שעה - הערות</v>
      </c>
      <c r="L434" t="str">
        <v>חומר</v>
      </c>
      <c r="M434" t="str">
        <v>כמות ק''ג</v>
      </c>
    </row>
    <row r="435">
      <c r="A435" t="str">
        <v>הכנס חומרים לאט ופזר היטב. הפעל 5 דקות דספרסיה בין הכנסת כל חומר. וודא שאין קצף לפני המעבר לשלב הבא. עבוד במהירות בF10</v>
      </c>
      <c r="C435" t="str">
        <v>water</v>
      </c>
      <c r="D435" s="1">
        <v>0.1762</v>
      </c>
      <c r="E435" s="2">
        <f>(E$449*D435)</f>
        <v>176.2</v>
      </c>
      <c r="I435" t="str">
        <v>הכנס חומרים לאט ופזר היטב. הפעל 5 דקות דספרסיה בין הכנסת כל חומר. וודא שאין קצף לפני המעבר לשלב הבא. עבוד במהירות בF10</v>
      </c>
      <c r="K435" t="str">
        <v>water</v>
      </c>
      <c r="L435" s="1">
        <v>0.1762</v>
      </c>
      <c r="M435" s="2">
        <f>(M$449*L435)</f>
        <v>176.2</v>
      </c>
    </row>
    <row r="436">
      <c r="B436" s="5">
        <v>0.39375</v>
      </c>
      <c r="C436" t="str">
        <v>OROTAN 731</v>
      </c>
      <c r="D436" s="4">
        <v>0.002</v>
      </c>
      <c r="E436" s="2">
        <f>(E$449*D436)</f>
        <v>2</v>
      </c>
      <c r="F436">
        <v>2.18</v>
      </c>
      <c r="K436" t="str">
        <v>OROTAN 731</v>
      </c>
      <c r="L436" s="4">
        <v>0.002</v>
      </c>
      <c r="M436" s="2">
        <f>(M$449*L436)</f>
        <v>2</v>
      </c>
    </row>
    <row r="437">
      <c r="B437" s="5">
        <v>0.39791666666666664</v>
      </c>
      <c r="C437" t="str">
        <v>AGITAN 80</v>
      </c>
      <c r="D437" s="4">
        <v>0.001</v>
      </c>
      <c r="E437" s="2">
        <f>(E$449*D437)</f>
        <v>1</v>
      </c>
      <c r="K437" t="str">
        <v>AGITAN 80</v>
      </c>
      <c r="L437" s="4">
        <v>0.001</v>
      </c>
      <c r="M437" s="2">
        <f>(M$449*L437)</f>
        <v>1</v>
      </c>
    </row>
    <row r="438">
      <c r="B438" s="5">
        <v>0.40208333333333335</v>
      </c>
      <c r="C438" t="str">
        <v>Biocide CMIF</v>
      </c>
      <c r="D438" s="1">
        <v>0.002</v>
      </c>
      <c r="E438" s="2">
        <f>(E$449*D438)</f>
        <v>2</v>
      </c>
      <c r="F438">
        <v>2.19</v>
      </c>
      <c r="K438" t="str">
        <v>Biocide CMIF</v>
      </c>
      <c r="L438" s="1">
        <v>0.002</v>
      </c>
      <c r="M438" s="2">
        <f>(M$449*L438)</f>
        <v>2</v>
      </c>
    </row>
    <row r="439">
      <c r="B439" s="5">
        <v>0.40625</v>
      </c>
      <c r="C439" t="str">
        <v>COMBIZELL</v>
      </c>
      <c r="D439" s="1">
        <v>0.0007</v>
      </c>
      <c r="E439" s="2">
        <f>(E$449*D439)</f>
        <v>0.7</v>
      </c>
      <c r="K439" t="str">
        <v>COMBIZELL</v>
      </c>
      <c r="L439" s="1">
        <v>0.0007</v>
      </c>
      <c r="M439" s="2">
        <f>(M$449*L439)</f>
        <v>0.7</v>
      </c>
    </row>
    <row r="440">
      <c r="B440" s="5">
        <v>0.41041666666666665</v>
      </c>
      <c r="C440" t="str">
        <v>AGITAN 80</v>
      </c>
      <c r="D440" s="1">
        <v>0.001</v>
      </c>
      <c r="E440" s="2">
        <f>(E$449*D440)</f>
        <v>1</v>
      </c>
      <c r="K440" t="str">
        <v>AGITAN 80</v>
      </c>
      <c r="L440" s="1">
        <v>0.001</v>
      </c>
      <c r="M440" s="2">
        <f>(M$449*L440)</f>
        <v>1</v>
      </c>
    </row>
    <row r="441">
      <c r="A441" t="str">
        <v>הכנס ללא גושים ובסיום דספרסיה 5 דקות  בF 13</v>
      </c>
      <c r="B441" s="5">
        <v>0.41597222222222224</v>
      </c>
      <c r="C441" t="str">
        <v>TIONA 826</v>
      </c>
      <c r="D441" s="1">
        <v>0.106</v>
      </c>
      <c r="E441" s="2">
        <f>(E$449*D441)</f>
        <v>106</v>
      </c>
      <c r="I441" t="str">
        <v>הכנס ללא גושים ובסיום דספרסיה 5 דקות  בF 13</v>
      </c>
      <c r="K441" t="str">
        <v>TIONA 826</v>
      </c>
      <c r="L441" s="1">
        <v>0.106</v>
      </c>
      <c r="M441" s="2">
        <f>(M$449*L441)</f>
        <v>106</v>
      </c>
    </row>
    <row r="442">
      <c r="A442" t="str">
        <v>הכנס ללא גושים ובסיום דספרסיה 5 דקות  בF 15</v>
      </c>
      <c r="B442" s="5">
        <v>0.4222222222222222</v>
      </c>
      <c r="C442" t="str">
        <v xml:space="preserve"> CHARMOR PM 40</v>
      </c>
      <c r="D442" s="1">
        <v>0.106</v>
      </c>
      <c r="E442" s="2">
        <f>(E$449*D442)</f>
        <v>106</v>
      </c>
      <c r="I442" t="str">
        <v>הכנס ללא גושים ובסיום דספרסיה 5 דקות  בF 15</v>
      </c>
      <c r="K442" t="str">
        <v xml:space="preserve"> CHARMOR PM 40</v>
      </c>
      <c r="L442" s="1">
        <v>0.106</v>
      </c>
      <c r="M442" s="2">
        <f>(M$449*L442)</f>
        <v>106</v>
      </c>
    </row>
    <row r="443">
      <c r="A443" t="str">
        <v>הכנס ללא גושים ובסיום דספרסיה 5 דקות  בF 18</v>
      </c>
      <c r="B443" s="5">
        <v>0.42777777777777776</v>
      </c>
      <c r="C443" t="str">
        <v>MELAFINE</v>
      </c>
      <c r="D443" s="1">
        <v>0.106</v>
      </c>
      <c r="E443" s="2">
        <f>(E$449*D443)</f>
        <v>106</v>
      </c>
      <c r="I443" t="str">
        <v>הכנס ללא גושים ובסיום דספרסיה 5 דקות  בF 18</v>
      </c>
      <c r="K443" t="str">
        <v>MELAFINE</v>
      </c>
      <c r="L443" s="1">
        <v>0.106</v>
      </c>
      <c r="M443" s="2">
        <f>(M$449*L443)</f>
        <v>106</v>
      </c>
    </row>
    <row r="444">
      <c r="A444" t="str">
        <v>הכנס בזרם דק עד להומוגניות  בF 15</v>
      </c>
      <c r="B444" s="5">
        <v>0.4326388888888889</v>
      </c>
      <c r="C444" s="3" t="str">
        <v>Texanol</v>
      </c>
      <c r="D444" s="1">
        <v>0.0117</v>
      </c>
      <c r="E444" s="2">
        <f>(E$449*D444)</f>
        <v>11.700000000000001</v>
      </c>
      <c r="F444">
        <v>12.25</v>
      </c>
      <c r="I444" t="str">
        <v>הכנס בזרם דק עד להומוגניות  בF 15</v>
      </c>
      <c r="K444" s="3" t="str">
        <v>Texanol</v>
      </c>
      <c r="L444" s="1">
        <v>0.0117</v>
      </c>
      <c r="M444" s="2">
        <f>(M$449*L444)</f>
        <v>11.700000000000001</v>
      </c>
    </row>
    <row r="445" ht="27.600000000000005" customHeight="1">
      <c r="A445" t="str">
        <v>הכנס ללא גושים  ב F18 עליה ל F21 ובסיום דספרסיה במשך 5 דקות . שים לב שלא יתחמם מידי</v>
      </c>
      <c r="B445" s="5">
        <v>0.4388888888888889</v>
      </c>
      <c r="C445" s="3" t="str">
        <v>EXOLIT AP435</v>
      </c>
      <c r="D445" s="1">
        <v>0.2749</v>
      </c>
      <c r="E445" s="2">
        <f>(E$449*D445)</f>
        <v>274.9</v>
      </c>
      <c r="I445" t="str">
        <v>הכנס ללא גושים  ב F18 עליה ל F21 ובסיום דספרסיה במשך 5 דקות . שים לב שלא יתחמם מידי</v>
      </c>
      <c r="K445" s="3" t="str">
        <v>EXOLIT AP435</v>
      </c>
      <c r="L445" s="1">
        <v>0.2749</v>
      </c>
      <c r="M445" s="2">
        <f>(M$449*L445)</f>
        <v>274.9</v>
      </c>
    </row>
    <row r="446" ht="17.4" customHeight="1">
      <c r="A446" t="str">
        <v>להכניס לאט ובהדרגה  לפיזור מלא ב12 F</v>
      </c>
      <c r="B446" s="5">
        <v>0.4465277777777778</v>
      </c>
      <c r="C446" s="3" t="str">
        <v>Lapinus CF 10</v>
      </c>
      <c r="D446" s="1">
        <v>0.02</v>
      </c>
      <c r="E446" s="2">
        <f>(E$449*D446)</f>
        <v>20</v>
      </c>
      <c r="I446" t="str">
        <v>להכניס לאט ובהדרגה  לפוזור מלא ב12 F</v>
      </c>
      <c r="K446" s="3" t="str">
        <v>Lapinus CF 10</v>
      </c>
      <c r="L446" s="1">
        <v>0.02</v>
      </c>
      <c r="M446" s="2">
        <f>(M$449*L446)</f>
        <v>20</v>
      </c>
    </row>
    <row r="447">
      <c r="A447" t="str">
        <v>הכנס לטקס בזרם דק עד להומוגניות  בF 12, לאחר מכן הכנס אגיטן ובסיום המשך 7 דקות ערבול</v>
      </c>
      <c r="B447" s="5">
        <v>0.45069444444444445</v>
      </c>
      <c r="C447" s="3" t="str">
        <v>EMULTEX FR 797</v>
      </c>
      <c r="D447" s="1">
        <v>0.192</v>
      </c>
      <c r="E447" s="2">
        <f>(E$449*D447)</f>
        <v>192</v>
      </c>
      <c r="I447" t="str">
        <v>הכנס בזרם דק עד להומוגניות  בF 12  לאחר מכן הכנס אגיטן ובסיום המשך 7 דקות ערבול</v>
      </c>
      <c r="K447" s="3" t="str">
        <v>VINNAPAS EZ 3112</v>
      </c>
      <c r="L447" s="1">
        <v>0.192</v>
      </c>
      <c r="M447" s="2">
        <f>(M$449*L447)</f>
        <v>192</v>
      </c>
    </row>
    <row r="448">
      <c r="B448" s="5">
        <v>0.45416666666666666</v>
      </c>
      <c r="C448" s="3" t="str">
        <v>AGITAN 80</v>
      </c>
      <c r="D448" s="1">
        <v>0.0005</v>
      </c>
      <c r="E448" s="2">
        <f>(E$449*D448)</f>
        <v>0.5</v>
      </c>
      <c r="F448" s="2">
        <v>1</v>
      </c>
      <c r="K448" s="3" t="str">
        <v>AGITAN 80</v>
      </c>
      <c r="L448" s="1">
        <v>0.0005</v>
      </c>
      <c r="M448" s="2">
        <f>(M$449*L448)</f>
        <v>0.5</v>
      </c>
    </row>
    <row r="449">
      <c r="D449" s="4">
        <f>SUM(D435:D448)</f>
        <v>1</v>
      </c>
      <c r="E449" s="2">
        <v>1000</v>
      </c>
      <c r="L449" s="4">
        <f>SUM(L435:L448)</f>
        <v>1</v>
      </c>
      <c r="M449" s="2">
        <v>1000</v>
      </c>
    </row>
    <row r="450">
      <c r="E450" s="2">
        <f>SUM(E435:E448)</f>
        <v>1000</v>
      </c>
      <c r="M450" s="2">
        <f>SUM(M435:M448)</f>
        <v>1000</v>
      </c>
    </row>
    <row r="455">
      <c r="A455" t="str">
        <v xml:space="preserve">            19.7.2023-023    Fresco INTUMESCENT</v>
      </c>
      <c r="I455" t="str">
        <v xml:space="preserve">         25.7.2023-024    Fresco INTUMESCENT</v>
      </c>
    </row>
    <row r="456">
      <c r="A456" t="str">
        <v>על בסיס 017-   ENCOR 2394 + הקטנת לטקס ומסמיך + סיבים  Lapinus CF 10</v>
      </c>
      <c r="I456" t="str">
        <v>ג על פי הנחיות בבודנהיים - עם FR CROS 584 +ENCOR 2394, הגדלת TIO2 ומסמיך</v>
      </c>
    </row>
    <row r="457">
      <c r="A457" t="str">
        <v>הוראות יצור</v>
      </c>
      <c r="B457" t="str">
        <v>שעה - הערות</v>
      </c>
      <c r="D457" t="str">
        <v>חומר</v>
      </c>
      <c r="E457" t="str">
        <v>כמות ק''ג</v>
      </c>
      <c r="I457" t="str">
        <v>הוראות יצור</v>
      </c>
      <c r="J457" t="str">
        <v>שעה - הערות</v>
      </c>
      <c r="K457" t="str">
        <v xml:space="preserve">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 </v>
      </c>
      <c r="L457" t="str">
        <v>חומר</v>
      </c>
      <c r="M457" t="str">
        <v>כמות ק''ג</v>
      </c>
    </row>
    <row r="458">
      <c r="A458" t="str">
        <v>הכנס חומרים לאט ופזר היטב. הפעל 5 דקות דספרסיה בין הכנסת כל חומר. וודא שאין קצף לפני המעבר לשלב הבא. עבוד במהירות בF10</v>
      </c>
      <c r="C458" t="str">
        <v>water</v>
      </c>
      <c r="D458" s="1">
        <v>0.1762</v>
      </c>
      <c r="E458" s="2">
        <f>(E$472*D458)</f>
        <v>211.44</v>
      </c>
      <c r="I458" t="str">
        <v>הכנס חומרים לאט ופזר היטב. הפעל 5 דקות דספרסיה בין הכנסת כל חומר. וודא שאין קצף לפני המעבר לשלב הבא. עבוד במהירות בF10</v>
      </c>
      <c r="K458" t="str">
        <v>water</v>
      </c>
      <c r="L458" s="1">
        <v>0.1756</v>
      </c>
      <c r="M458" s="2">
        <f>(M$471*L458)</f>
        <v>210.72</v>
      </c>
    </row>
    <row r="459">
      <c r="C459" t="str">
        <v>OROTAN 731</v>
      </c>
      <c r="D459" s="4">
        <v>0.002</v>
      </c>
      <c r="E459" s="2">
        <f>(E$472*D459)</f>
        <v>2.4</v>
      </c>
      <c r="K459" t="str">
        <v>OROTAN 731</v>
      </c>
      <c r="L459" s="4">
        <v>0.0016</v>
      </c>
      <c r="M459" s="2">
        <f>(M$471*L459)</f>
        <v>1.9200000000000002</v>
      </c>
    </row>
    <row r="460">
      <c r="C460" t="str">
        <v>AGITAN 80</v>
      </c>
      <c r="D460" s="4">
        <v>0.001</v>
      </c>
      <c r="E460" s="2">
        <f>(E$472*D460)</f>
        <v>1.2</v>
      </c>
      <c r="K460" t="str">
        <v>AGITAN 80</v>
      </c>
      <c r="L460" s="4">
        <v>0.001</v>
      </c>
      <c r="M460" s="2">
        <f>(M$471*L470)</f>
        <v>1.2</v>
      </c>
    </row>
    <row r="461">
      <c r="C461" t="str">
        <v>Biocide CMIF</v>
      </c>
      <c r="D461" s="1">
        <v>0.002</v>
      </c>
      <c r="E461" s="2">
        <f>(E$472*D461)</f>
        <v>2.4</v>
      </c>
      <c r="K461" t="str">
        <v>Biocide CMIF</v>
      </c>
      <c r="L461" s="1">
        <v>0.002</v>
      </c>
      <c r="M461" s="2">
        <f>(M$471*L461)</f>
        <v>2.4</v>
      </c>
    </row>
    <row r="462">
      <c r="C462" t="str">
        <v>COMBIZELL</v>
      </c>
      <c r="D462" s="1">
        <v>0.0007</v>
      </c>
      <c r="E462" s="2">
        <f>(E$472*D462)</f>
        <v>0.84</v>
      </c>
      <c r="K462" t="str">
        <v>COMBIZELL</v>
      </c>
      <c r="L462" s="1">
        <v>0.0012</v>
      </c>
      <c r="M462" s="2">
        <f>(M$471*L462)</f>
        <v>1.44</v>
      </c>
    </row>
    <row r="463">
      <c r="C463" t="str">
        <v>AGITAN 80</v>
      </c>
      <c r="D463" s="1">
        <v>0.001</v>
      </c>
      <c r="E463" s="2">
        <f>(E$472*D463)</f>
        <v>1.2</v>
      </c>
      <c r="K463" t="str">
        <v>AGITAN 80</v>
      </c>
      <c r="L463" s="1">
        <v>0.001</v>
      </c>
      <c r="M463" s="2">
        <f>(M$471*L463)</f>
        <v>1.2</v>
      </c>
    </row>
    <row r="464">
      <c r="A464" t="str">
        <v>הכנס ללא גושים ובסיום דספרסיה 5 דקות  בF 13</v>
      </c>
      <c r="C464" t="str">
        <v>TIONA 826</v>
      </c>
      <c r="D464" s="1">
        <v>0.106</v>
      </c>
      <c r="E464" s="2">
        <f>(E$472*D464)</f>
        <v>127.2</v>
      </c>
      <c r="I464" t="str">
        <v>הכנס ללא גושים ובסיום דספרסיה 5 דקות  בF 13</v>
      </c>
      <c r="K464" t="str">
        <v>TIONA 826</v>
      </c>
      <c r="L464" s="1">
        <v>0.12</v>
      </c>
      <c r="M464" s="2">
        <f>(M$471*L464)</f>
        <v>144</v>
      </c>
    </row>
    <row r="465">
      <c r="A465" t="str">
        <v>הכנס ללא גושים ובסיום דספרסיה 5 דקות  בF 15</v>
      </c>
      <c r="C465" t="str">
        <v xml:space="preserve"> CHARMOR PM 40</v>
      </c>
      <c r="D465" s="1">
        <v>0.106</v>
      </c>
      <c r="E465" s="2">
        <f>(E$472*D465)</f>
        <v>127.2</v>
      </c>
      <c r="I465" t="str">
        <v>הכנס ללא גושים ובסיום דספרסיה 5 דקות  בF 15</v>
      </c>
      <c r="K465" t="str">
        <v xml:space="preserve"> CHARMOR PM 40</v>
      </c>
      <c r="L465" s="1">
        <v>0.106</v>
      </c>
      <c r="M465" s="2">
        <f>(M$471*L465)</f>
        <v>127.2</v>
      </c>
    </row>
    <row r="466">
      <c r="A466" t="str">
        <v>הכנס ללא גושים ובסיום דספרסיה 5 דקות  בF 18</v>
      </c>
      <c r="C466" t="str">
        <v>MELAFINE</v>
      </c>
      <c r="D466" s="1">
        <v>0.106</v>
      </c>
      <c r="E466" s="2">
        <f>(E$472*D466)</f>
        <v>127.2</v>
      </c>
      <c r="I466" t="str">
        <v>הכנס ללא גושים ובסיום דספרסיה 5 דקות  בF 18</v>
      </c>
      <c r="K466" t="str">
        <v>MELAFINE</v>
      </c>
      <c r="L466" s="1">
        <v>0.106</v>
      </c>
      <c r="M466" s="2">
        <f>(M$471*L466)</f>
        <v>127.2</v>
      </c>
    </row>
    <row r="467">
      <c r="A467" t="str">
        <v>הכנס בזרם דק עד להומוגניות  בF 15</v>
      </c>
      <c r="C467" s="3" t="str">
        <v>Texanol</v>
      </c>
      <c r="D467" s="1">
        <v>0.0117</v>
      </c>
      <c r="E467" s="2">
        <f>(E$472*D467)</f>
        <v>14.040000000000001</v>
      </c>
      <c r="I467" t="str">
        <v>הכנס בזרם דק עד להומוגניות  בF 15</v>
      </c>
      <c r="K467" s="3" t="str">
        <v>Texanol</v>
      </c>
      <c r="L467" s="1">
        <v>0.0117</v>
      </c>
      <c r="M467" s="2">
        <f>(M$471*L467)</f>
        <v>14.040000000000001</v>
      </c>
    </row>
    <row r="468" ht="27.600000000000005" customHeight="1">
      <c r="A468" t="str">
        <v>הכנס ללא גושים  ב F18 עליה ל F21 ובסיום דספרסיה במשך 5 דקות . שים לב שלא יתחמם מידי</v>
      </c>
      <c r="C468" s="3" t="str">
        <v>EXOLIT AP435</v>
      </c>
      <c r="D468" s="1">
        <v>0.2749</v>
      </c>
      <c r="E468" s="2">
        <f>(E$472*D468)</f>
        <v>329.88</v>
      </c>
      <c r="I468" t="str">
        <v>הכנס ללא גושים  ב F18 עליה ל F21 ובסיום דספרסיה במשך 5 דקות . שים לב שלא יתחמם מידי</v>
      </c>
      <c r="K468" s="3" t="str">
        <v>FR CROS 584</v>
      </c>
      <c r="L468" s="1">
        <v>0.2609</v>
      </c>
      <c r="M468" s="2">
        <f>(M$471*L468)</f>
        <v>313.08000000000004</v>
      </c>
    </row>
    <row r="469" ht="17.4" customHeight="1">
      <c r="A469" t="str">
        <v>להכניס לאט ובהדרגה  לפוזור מלא ב12 F</v>
      </c>
      <c r="C469" s="3" t="str">
        <v>Lapinus CF 10</v>
      </c>
      <c r="D469" s="1">
        <v>0.02</v>
      </c>
      <c r="E469" s="2">
        <f>(E$472*D469)</f>
        <v>24</v>
      </c>
      <c r="I469" t="str">
        <v>הכנס בזרם דק עד להומוגניות  בF 12</v>
      </c>
      <c r="K469" s="3" t="str">
        <v>ENCOR 2394</v>
      </c>
      <c r="L469" s="1">
        <v>0.212</v>
      </c>
      <c r="M469" s="2">
        <f>(M$471*L469)</f>
        <v>254.4</v>
      </c>
    </row>
    <row r="470">
      <c r="A470" t="str">
        <v>הכנס בזרם דק עד להומוגניות  בF 12 לאחר מכן הכנס אגיטן ובסיום המשך 7 דקות ערבול</v>
      </c>
      <c r="C470" s="3" t="str">
        <v>ENCOR 2394</v>
      </c>
      <c r="D470" s="1">
        <v>0.192</v>
      </c>
      <c r="E470" s="2">
        <f>(E$472*D470)</f>
        <v>230.4</v>
      </c>
      <c r="I470" t="str">
        <v>יש להכניס תוך ערבוב ולהמשיך ערבוב איטי כ5 דקות</v>
      </c>
      <c r="K470" s="3" t="str">
        <v>AGITAN 80</v>
      </c>
      <c r="L470" s="1">
        <v>0.001</v>
      </c>
      <c r="M470" s="2">
        <f>(M$471*L470)</f>
        <v>1.2</v>
      </c>
    </row>
    <row r="471">
      <c r="C471" s="3" t="str">
        <v>AGITAN 80</v>
      </c>
      <c r="D471" s="1">
        <v>0.0005</v>
      </c>
      <c r="E471" s="2">
        <f>(E$472*D471)</f>
        <v>0.6</v>
      </c>
      <c r="L471" s="4">
        <f>SUM(L458:L470)</f>
        <v>1</v>
      </c>
      <c r="M471" s="2">
        <v>1200</v>
      </c>
    </row>
    <row r="472">
      <c r="D472" s="4">
        <f>SUM(D458:D471)</f>
        <v>1</v>
      </c>
      <c r="E472" s="2">
        <v>1200</v>
      </c>
      <c r="M472" s="2">
        <f>SUM(M458:M470)</f>
        <v>1200</v>
      </c>
    </row>
    <row r="473">
      <c r="E473" s="2">
        <f>SUM(E458:E471)</f>
        <v>1200</v>
      </c>
    </row>
    <row r="474"/>
    <row r="479">
      <c r="A479" t="str">
        <v xml:space="preserve">         25.7.2023-025    Fresco INTUMESCENT</v>
      </c>
    </row>
    <row r="480">
      <c r="A480" t="str">
        <v>ג על פי הנחיות בבודנהיים - עם FR CROS 487 +ENCOR 2394, הגדלת TIO2 ומסמיך</v>
      </c>
    </row>
    <row r="481">
      <c r="A481" t="str">
        <v>הוראות יצור</v>
      </c>
      <c r="B481" t="str">
        <v>שעה - הערות</v>
      </c>
      <c r="D481" t="str">
        <v>חומר</v>
      </c>
      <c r="E481" t="str">
        <v>כמות ק''ג</v>
      </c>
    </row>
    <row r="482">
      <c r="A482" t="str">
        <v>הכנס חומרים לאט ופזר היטב. הפעל 5 דקות דספרסיה בין הכנסת כל חומר. וודא שאין קצף לפני המעבר לשלב הבא. עבוד במהירות בF10</v>
      </c>
      <c r="C482" t="str">
        <v>water</v>
      </c>
      <c r="D482" s="1">
        <v>0.1756</v>
      </c>
      <c r="E482" s="2">
        <f>(E$495*D482)</f>
        <v>210.72</v>
      </c>
    </row>
    <row r="483">
      <c r="C483" t="str">
        <v>OROTAN 731</v>
      </c>
      <c r="D483" s="4">
        <v>0.0016</v>
      </c>
      <c r="E483" s="2">
        <f>(E$495*D483)</f>
        <v>1.9200000000000002</v>
      </c>
    </row>
    <row r="484">
      <c r="C484" t="str">
        <v>AGITAN 80</v>
      </c>
      <c r="D484" s="4">
        <v>0.001</v>
      </c>
      <c r="E484" s="2">
        <f>(E$495*D484)</f>
        <v>1.2</v>
      </c>
    </row>
    <row r="485">
      <c r="C485" t="str">
        <v>Biocide CMIF</v>
      </c>
      <c r="D485" s="1">
        <v>0.002</v>
      </c>
      <c r="E485" s="2">
        <f>(E$495*D485)</f>
        <v>2.4</v>
      </c>
    </row>
    <row r="486">
      <c r="C486" t="str">
        <v>COMBIZELL</v>
      </c>
      <c r="D486" s="1">
        <v>0.0012</v>
      </c>
      <c r="E486" s="2">
        <f>(E$495*D486)</f>
        <v>1.44</v>
      </c>
    </row>
    <row r="487">
      <c r="C487" t="str">
        <v>AGITAN 80</v>
      </c>
      <c r="D487" s="1">
        <v>0.001</v>
      </c>
      <c r="E487" s="2">
        <f>(E$495*D487)</f>
        <v>1.2</v>
      </c>
    </row>
    <row r="488">
      <c r="A488" t="str">
        <v>הכנס ללא גושים ובסיום דספרסיה 5 דקות  בF 13</v>
      </c>
      <c r="C488" t="str">
        <v>TIONA 826</v>
      </c>
      <c r="D488" s="1">
        <v>0.12</v>
      </c>
      <c r="E488" s="2">
        <f>(E$495*D488)</f>
        <v>144</v>
      </c>
    </row>
    <row r="489">
      <c r="A489" t="str">
        <v>הכנס ללא גושים ובסיום דספרסיה 5 דקות  בF 15</v>
      </c>
      <c r="C489" t="str">
        <v xml:space="preserve"> CHARMOR PM 40</v>
      </c>
      <c r="D489" s="1">
        <v>0.106</v>
      </c>
      <c r="E489" s="2">
        <f>(E$495*D489)</f>
        <v>127.2</v>
      </c>
    </row>
    <row r="490">
      <c r="A490" t="str">
        <v>הכנס ללא גושים ובסיום דספרסיה 5 דקות  בF 18</v>
      </c>
      <c r="C490" t="str">
        <v>MELAFINE</v>
      </c>
      <c r="D490" s="1">
        <v>0.106</v>
      </c>
      <c r="E490" s="2">
        <f>(E$495*D490)</f>
        <v>127.2</v>
      </c>
    </row>
    <row r="491">
      <c r="A491" t="str">
        <v>הכנס בזרם דק עד להומוגניות  בF 15</v>
      </c>
      <c r="C491" s="3" t="str">
        <v>Texanol</v>
      </c>
      <c r="D491" s="1">
        <v>0.0117</v>
      </c>
      <c r="E491" s="2">
        <f>(E$495*D491)</f>
        <v>14.040000000000001</v>
      </c>
    </row>
    <row r="492" ht="27.600000000000005" customHeight="1">
      <c r="A492" t="str">
        <v>הכנס ללא גושים  ב F18 עליה ל F21 ובסיום דספרסיה במשך 5 דקות . שים לב שלא יתחמם מידי</v>
      </c>
      <c r="C492" s="3" t="str">
        <v>FR CROS 487</v>
      </c>
      <c r="D492" s="1">
        <v>0.2609</v>
      </c>
      <c r="E492" s="2">
        <f>(E$495*D492)</f>
        <v>313.08000000000004</v>
      </c>
    </row>
    <row r="493">
      <c r="A493" t="str">
        <v>הכנס בזרם דק עד להומוגניות  בF 12</v>
      </c>
      <c r="C493" s="3" t="str">
        <v>ENCOR 2394</v>
      </c>
      <c r="D493" s="1">
        <v>0.212</v>
      </c>
      <c r="E493" s="2">
        <f>(E$495*D493)</f>
        <v>254.4</v>
      </c>
    </row>
    <row r="494">
      <c r="A494" t="str">
        <v>יש להכניס תוך ערבוב ולהמשיך ערבוב איטי כ5 דקות</v>
      </c>
      <c r="C494" s="3" t="str">
        <v>AGITAN 80</v>
      </c>
      <c r="D494" s="1">
        <v>0.001</v>
      </c>
      <c r="E494" s="2">
        <f>(E$495*D494)</f>
        <v>1.2</v>
      </c>
    </row>
    <row r="495">
      <c r="D495" s="4">
        <f>SUM(D482:D494)</f>
        <v>1</v>
      </c>
      <c r="E495" s="2">
        <v>1200</v>
      </c>
    </row>
    <row r="496">
      <c r="E496" s="2">
        <f>SUM(E482:E494)</f>
        <v>1200</v>
      </c>
    </row>
    <row r="501">
      <c r="A501" t="str">
        <v xml:space="preserve">         25.7.2023-026    Fresco INTUMESCENT</v>
      </c>
      <c r="I501" t="str">
        <v xml:space="preserve">         25.7.2023-027   Fresco INTUMESCENT</v>
      </c>
    </row>
    <row r="502">
      <c r="A502" t="str">
        <v>ג על פי הנחיות בבודנהיים - עם FR CROS 584 +ENCOR 2394, הגדלת TIO2 ומסמיך + 759 CROS</v>
      </c>
      <c r="I502" t="str">
        <v>ג על פי הנחיות בבודנהיים - עם FR CROS 487 +ENCOR 2394, הגדלת TIO2 ומסמיך+ 759 CROS</v>
      </c>
    </row>
    <row r="503">
      <c r="A503" t="str">
        <v>הוראות יצור</v>
      </c>
      <c r="B503" t="str">
        <v>שעה - הערות</v>
      </c>
      <c r="D503" t="str">
        <v>חומר</v>
      </c>
      <c r="E503" t="str">
        <v>כמות ק''ג</v>
      </c>
      <c r="I503" t="str">
        <v>הוראות יצור</v>
      </c>
      <c r="J503" t="str">
        <v>שעה - הערות</v>
      </c>
      <c r="L503" t="str">
        <v>חומר</v>
      </c>
      <c r="M503" t="str">
        <v>כמות ק''ג</v>
      </c>
    </row>
    <row r="504">
      <c r="A504" t="str">
        <v>הכנס חומרים לאט ופזר היטב. הפעל 5 דקות דספרסיה בין הכנסת כל חומר. וודא שאין קצף לפני המעבר לשלב הבא. עבוד במהירות בF10</v>
      </c>
      <c r="C504" t="str">
        <v>water</v>
      </c>
      <c r="D504" s="1">
        <v>0.1756</v>
      </c>
      <c r="E504" s="2">
        <f>(E$518*D504)</f>
        <v>210.72</v>
      </c>
      <c r="I504" t="str">
        <v>הכנס חומרים לאט ופזר היטב. הפעל 5 דקות דספרסיה בין הכנסת כל חומר. וודא שאין קצף לפני המעבר לשלב הבא. עבוד במהירות בF10</v>
      </c>
      <c r="K504" t="str">
        <v>water</v>
      </c>
      <c r="L504" s="1">
        <v>0.1756</v>
      </c>
      <c r="M504" s="2">
        <f>(M$518*L504)</f>
        <v>210.72</v>
      </c>
    </row>
    <row r="505">
      <c r="C505" t="str">
        <v>OROTAN 731</v>
      </c>
      <c r="D505" s="4">
        <v>0.0016</v>
      </c>
      <c r="E505" s="2">
        <f>(E$518*D505)</f>
        <v>1.9200000000000002</v>
      </c>
      <c r="K505" t="str">
        <v>OROTAN 731</v>
      </c>
      <c r="L505" s="4">
        <v>0.0016</v>
      </c>
      <c r="M505" s="2">
        <f>(M$518*L505)</f>
        <v>1.9200000000000002</v>
      </c>
    </row>
    <row r="506">
      <c r="C506" t="str">
        <v>AGITAN 80</v>
      </c>
      <c r="D506" s="4">
        <v>0.001</v>
      </c>
      <c r="E506" s="2">
        <f>(E$518*D517)</f>
        <v>1.2</v>
      </c>
      <c r="K506" t="str">
        <v>AGITAN 80</v>
      </c>
      <c r="L506" s="4">
        <v>0.001</v>
      </c>
      <c r="M506" s="2">
        <f>(M$518*L517)</f>
        <v>1.2</v>
      </c>
    </row>
    <row r="507">
      <c r="C507" t="str">
        <v>Biocide CMIF</v>
      </c>
      <c r="D507" s="1">
        <v>0.002</v>
      </c>
      <c r="E507" s="2">
        <f>(E$518*D507)</f>
        <v>2.4</v>
      </c>
      <c r="K507" t="str">
        <v>Biocide CMIF</v>
      </c>
      <c r="L507" s="1">
        <v>0.002</v>
      </c>
      <c r="M507" s="2">
        <f>(M$518*L507)</f>
        <v>2.4</v>
      </c>
    </row>
    <row r="508">
      <c r="C508" t="str">
        <v>COMBIZELL</v>
      </c>
      <c r="D508" s="1">
        <v>0.0012</v>
      </c>
      <c r="E508" s="2">
        <f>(E$518*D508)</f>
        <v>1.44</v>
      </c>
      <c r="K508" t="str">
        <v>COMBIZELL</v>
      </c>
      <c r="L508" s="1">
        <v>0.0012</v>
      </c>
      <c r="M508" s="2">
        <f>(M$518*L508)</f>
        <v>1.44</v>
      </c>
    </row>
    <row r="509">
      <c r="C509" t="str">
        <v>AGITAN 80</v>
      </c>
      <c r="D509" s="1">
        <v>0.001</v>
      </c>
      <c r="E509" s="2">
        <f>(E$518*D509)</f>
        <v>1.2</v>
      </c>
      <c r="K509" t="str">
        <v>AGITAN 80</v>
      </c>
      <c r="L509" s="1">
        <v>0.001</v>
      </c>
      <c r="M509" s="2">
        <f>(M$518*L509)</f>
        <v>1.2</v>
      </c>
    </row>
    <row r="510">
      <c r="A510" t="str">
        <v>הכנס ללא גושים ובסיום דספרסיה 5 דקות  בF 13</v>
      </c>
      <c r="C510" t="str">
        <v>TIONA 826</v>
      </c>
      <c r="D510" s="1">
        <v>0.12</v>
      </c>
      <c r="E510" s="2">
        <f>(E$518*D510)</f>
        <v>144</v>
      </c>
      <c r="I510" t="str">
        <v>הכנס ללא גושים ובסיום דספרסיה 5 דקות  בF 13</v>
      </c>
      <c r="K510" t="str">
        <v>TIONA 826</v>
      </c>
      <c r="L510" s="1">
        <v>0.12</v>
      </c>
      <c r="M510" s="2">
        <f>(M$518*L510)</f>
        <v>144</v>
      </c>
    </row>
    <row r="511">
      <c r="A511" t="str">
        <v>הכנס ללא גושים ובסיום דספרסיה 5 דקות  בF 15</v>
      </c>
      <c r="C511" t="str">
        <v xml:space="preserve"> CHARMOR PM 40</v>
      </c>
      <c r="D511" s="1">
        <v>0.106</v>
      </c>
      <c r="E511" s="2">
        <f>(E$518*D511)</f>
        <v>127.2</v>
      </c>
      <c r="I511" t="str">
        <v>הכנס ללא גושים ובסיום דספרסיה 5 דקות  בF 15</v>
      </c>
      <c r="K511" t="str">
        <v xml:space="preserve"> CHARMOR PM 40</v>
      </c>
      <c r="L511" s="1">
        <v>0.106</v>
      </c>
      <c r="M511" s="2">
        <f>(M$518*L511)</f>
        <v>127.2</v>
      </c>
    </row>
    <row r="512">
      <c r="C512" t="str">
        <v>FR CROS 759</v>
      </c>
      <c r="D512" s="1">
        <v>0.01</v>
      </c>
      <c r="E512" s="2">
        <f>(E$518*D512)</f>
        <v>12</v>
      </c>
      <c r="K512" t="str">
        <v>FR CROS 759</v>
      </c>
      <c r="L512" s="1">
        <v>0.01</v>
      </c>
      <c r="M512" s="2">
        <f>(M$518*L512)</f>
        <v>12</v>
      </c>
    </row>
    <row r="513">
      <c r="A513" t="str">
        <v>הכנס ללא גושים ובסיום דספרסיה 5 דקות  בF 18</v>
      </c>
      <c r="C513" t="str">
        <v>MELAFINE</v>
      </c>
      <c r="D513" s="1">
        <v>0.106</v>
      </c>
      <c r="E513" s="2">
        <f>(E$518*D513)</f>
        <v>127.2</v>
      </c>
      <c r="I513" t="str">
        <v>הכנס ללא גושים ובסיום דספרסיה 5 דקות  בF 18</v>
      </c>
      <c r="K513" t="str">
        <v>MELAFINE</v>
      </c>
      <c r="L513" s="1">
        <v>0.106</v>
      </c>
      <c r="M513" s="2">
        <f>(M$518*L513)</f>
        <v>127.2</v>
      </c>
    </row>
    <row r="514">
      <c r="A514" t="str">
        <v>הכנס בזרם דק עד להומוגניות  בF 15</v>
      </c>
      <c r="C514" s="3" t="str">
        <v>Texanol</v>
      </c>
      <c r="D514" s="1">
        <v>0.0117</v>
      </c>
      <c r="E514" s="2">
        <f>(E$518*D514)</f>
        <v>14.040000000000001</v>
      </c>
      <c r="I514" t="str">
        <v>הכנס בזרם דק עד להומוגניות  בF 15</v>
      </c>
      <c r="K514" s="3" t="str">
        <v>Texanol</v>
      </c>
      <c r="L514" s="1">
        <v>0.0117</v>
      </c>
      <c r="M514" s="2">
        <f>(M$518*L514)</f>
        <v>14.040000000000001</v>
      </c>
    </row>
    <row r="515" ht="27.600000000000005" customHeight="1">
      <c r="A515" t="str">
        <v>הכנס ללא גושים  ב F18 עליה ל F21 ובסיום דספרסיה במשך 5 דקות . שים לב שלא יתחמם מידי</v>
      </c>
      <c r="C515" s="3" t="str">
        <v>FR CROS 584</v>
      </c>
      <c r="D515" s="1">
        <v>0.2509</v>
      </c>
      <c r="E515" s="2">
        <f>(E$518*D515)</f>
        <v>301.08000000000004</v>
      </c>
      <c r="I515" t="str">
        <v>הכנס ללא גושים  ב F18 עליה ל F21 ובסיום דספרסיה במשך 5 דקות . שים לב שלא יתחמם מידי</v>
      </c>
      <c r="K515" s="3" t="str">
        <v>FR CROS 487</v>
      </c>
      <c r="L515" s="1">
        <v>0.2509</v>
      </c>
      <c r="M515" s="2">
        <f>(M$518*L515)</f>
        <v>301.08000000000004</v>
      </c>
    </row>
    <row r="516">
      <c r="A516" t="str">
        <v>הכנס בזרם דק עד להומוגניות  בF 12</v>
      </c>
      <c r="C516" s="3" t="str">
        <v>ENCOR 2394</v>
      </c>
      <c r="D516" s="1">
        <v>0.212</v>
      </c>
      <c r="E516" s="2">
        <f>(E$518*D516)</f>
        <v>254.4</v>
      </c>
      <c r="I516" t="str">
        <v>הכנס בזרם דק עד להומוגניות  בF 12</v>
      </c>
      <c r="K516" s="3" t="str">
        <v>ENCOR 2394</v>
      </c>
      <c r="L516" s="1">
        <v>0.212</v>
      </c>
      <c r="M516" s="2">
        <f>(M$518*L516)</f>
        <v>254.4</v>
      </c>
    </row>
    <row r="517">
      <c r="A517" t="str">
        <v>יש להכניס תוך ערבוב ולהמשיך ערבוב איטי כ5 דקות</v>
      </c>
      <c r="C517" s="3" t="str">
        <v>AGITAN 80</v>
      </c>
      <c r="D517" s="1">
        <v>0.001</v>
      </c>
      <c r="E517" s="2">
        <f>(E$518*D517)</f>
        <v>1.2</v>
      </c>
      <c r="I517" t="str">
        <v>יש להכניס תוך ערבוב ולהמשיך ערבוב איטי כ5 דקות</v>
      </c>
      <c r="K517" s="3" t="str">
        <v>AGITAN 80</v>
      </c>
      <c r="L517" s="1">
        <v>0.001</v>
      </c>
      <c r="M517" s="2">
        <f>(M$518*L517)</f>
        <v>1.2</v>
      </c>
    </row>
    <row r="518">
      <c r="D518" s="4">
        <f>SUM(D504:D517)</f>
        <v>1</v>
      </c>
      <c r="E518" s="2">
        <v>1200</v>
      </c>
      <c r="L518" s="4">
        <f>SUM(L504:L517)</f>
        <v>1</v>
      </c>
      <c r="M518" s="2">
        <v>1200</v>
      </c>
    </row>
    <row r="519">
      <c r="E519" s="2">
        <f>SUM(E504:E517)</f>
        <v>1200</v>
      </c>
      <c r="M519" s="2">
        <f>SUM(M504:M517)</f>
        <v>1200</v>
      </c>
    </row>
    <row r="523">
      <c r="A523" t="str">
        <v xml:space="preserve">         25.7.2023-028    Fresco INTUMESCENT</v>
      </c>
    </row>
    <row r="524">
      <c r="A524" t="str">
        <v>ג על פי הנחיות בבודנהיים - עם FR CROS 584 +ENCOR 2394, הגדלת TIO2 ומסמיך + FG 400/040</v>
      </c>
      <c r="I524" t="str">
        <v xml:space="preserve">            02.8.2023-029     Fresco INTUMESCENT</v>
      </c>
    </row>
    <row r="525">
      <c r="A525" t="str">
        <v>הוראות יצור</v>
      </c>
      <c r="B525" t="str">
        <v>שעה - הערות</v>
      </c>
      <c r="D525" t="str">
        <v>חומר</v>
      </c>
      <c r="E525" t="str">
        <v>כמות ק''ג</v>
      </c>
      <c r="I525" t="str">
        <v>על בסיס 022-   VINNAPAS EZ 3019+ קצת הגדלת  מסמיך + סיבים  Lapinus CF 10</v>
      </c>
    </row>
    <row r="526">
      <c r="A526" t="str">
        <v>הכנס חומרים לאט ופזר היטב. הפעל 5 דקות דספרסיה בין הכנסת כל חומר. וודא שאין קצף לפני המעבר לשלב הבא. עבוד במהירות בF10</v>
      </c>
      <c r="C526" t="str">
        <v>water</v>
      </c>
      <c r="D526" s="1">
        <v>0.1756</v>
      </c>
      <c r="E526" s="2">
        <f>(E$518*D526)</f>
        <v>210.72</v>
      </c>
      <c r="I526" t="str">
        <v>הוראות יצור</v>
      </c>
      <c r="J526" t="str">
        <v>שעה - הערות</v>
      </c>
      <c r="L526" t="str">
        <v>חומר</v>
      </c>
      <c r="M526" t="str">
        <v>כמות ק''ג</v>
      </c>
    </row>
    <row r="527">
      <c r="C527" t="str">
        <v>OROTAN 731</v>
      </c>
      <c r="D527" s="4">
        <v>0.0016</v>
      </c>
      <c r="E527" s="2">
        <f>(E$518*D527)</f>
        <v>1.9200000000000002</v>
      </c>
      <c r="I527" t="str">
        <v>הכנס חומרים לאט ופזר היטב. הפעל 5 דקות דספרסיה בין הכנסת כל חומר. וודא שאין קצף לפני המעבר לשלב הבא. עבוד במהירות בF10</v>
      </c>
      <c r="K527" t="str">
        <v>water</v>
      </c>
      <c r="L527" s="1">
        <v>0.1759</v>
      </c>
      <c r="M527" s="2">
        <f>(M$449*L527)</f>
        <v>175.9</v>
      </c>
    </row>
    <row r="528">
      <c r="C528" t="str">
        <v>AGITAN 80</v>
      </c>
      <c r="D528" s="4">
        <v>0.001</v>
      </c>
      <c r="E528" s="2">
        <f>(E$518*D539)</f>
        <v>1.2</v>
      </c>
      <c r="K528" t="str">
        <v>OROTAN 731</v>
      </c>
      <c r="L528" s="4">
        <v>0.002</v>
      </c>
      <c r="M528" s="2">
        <f>(M$449*L528)</f>
        <v>2</v>
      </c>
    </row>
    <row r="529">
      <c r="C529" t="str">
        <v>Biocide CMIF</v>
      </c>
      <c r="D529" s="1">
        <v>0.002</v>
      </c>
      <c r="E529" s="2">
        <f>(E$518*D529)</f>
        <v>2.4</v>
      </c>
      <c r="K529" t="str">
        <v>AGITAN 80</v>
      </c>
      <c r="L529" s="4">
        <v>0.001</v>
      </c>
      <c r="M529" s="2">
        <f>(M$449*L529)</f>
        <v>1</v>
      </c>
    </row>
    <row r="530">
      <c r="C530" t="str">
        <v>COMBIZELL</v>
      </c>
      <c r="D530" s="1">
        <v>0.0012</v>
      </c>
      <c r="E530" s="2">
        <f>(E$518*D530)</f>
        <v>1.44</v>
      </c>
      <c r="K530" t="str">
        <v>Biocide CMIF</v>
      </c>
      <c r="L530" s="1">
        <v>0.002</v>
      </c>
      <c r="M530" s="2">
        <f>(M$449*L530)</f>
        <v>2</v>
      </c>
    </row>
    <row r="531">
      <c r="C531" t="str">
        <v>AGITAN 80</v>
      </c>
      <c r="D531" s="1">
        <v>0.001</v>
      </c>
      <c r="E531" s="2">
        <f>(E$518*D531)</f>
        <v>1.2</v>
      </c>
      <c r="K531" t="str">
        <v>COMBIZELL</v>
      </c>
      <c r="L531" s="1">
        <v>0.001</v>
      </c>
      <c r="M531" s="2">
        <f>(M$449*L531)</f>
        <v>1</v>
      </c>
    </row>
    <row r="532">
      <c r="A532" t="str">
        <v>הכנס ללא גושים ובסיום דספרסיה 5 דקות  בF 13</v>
      </c>
      <c r="C532" t="str">
        <v>TIONA 826</v>
      </c>
      <c r="D532" s="1">
        <v>0.12</v>
      </c>
      <c r="E532" s="2">
        <f>(E$518*D532)</f>
        <v>144</v>
      </c>
      <c r="K532" t="str">
        <v>AGITAN 80</v>
      </c>
      <c r="L532" s="1">
        <v>0.001</v>
      </c>
      <c r="M532" s="2">
        <f>(M$449*L532)</f>
        <v>1</v>
      </c>
    </row>
    <row r="533">
      <c r="A533" t="str">
        <v>הכנס ללא גושים ובסיום דספרסיה 5 דקות  בF 15</v>
      </c>
      <c r="C533" t="str">
        <v xml:space="preserve"> CHARMOR PM 40</v>
      </c>
      <c r="D533" s="1">
        <v>0.106</v>
      </c>
      <c r="E533" s="2">
        <f>(E$518*D533)</f>
        <v>127.2</v>
      </c>
      <c r="I533" t="str">
        <v>הכנס ללא גושים ובסיום דספרסיה 5 דקות  בF 13</v>
      </c>
      <c r="K533" t="str">
        <v>TIONA 826</v>
      </c>
      <c r="L533" s="1">
        <v>0.106</v>
      </c>
      <c r="M533" s="2">
        <f>(M$449*L533)</f>
        <v>106</v>
      </c>
    </row>
    <row r="534">
      <c r="A534" t="str">
        <v>הכנס ללא גושים ובסיום דספרסיה 5 דקות  בF 18</v>
      </c>
      <c r="C534" t="str">
        <v>MELAFINE</v>
      </c>
      <c r="D534" s="1">
        <v>0.106</v>
      </c>
      <c r="E534" s="2">
        <f>(E$518*D534)</f>
        <v>127.2</v>
      </c>
      <c r="I534" t="str">
        <v>הכנס ללא גושים ובסיום דספרסיה 5 דקות  בF 15</v>
      </c>
      <c r="K534" t="str">
        <v xml:space="preserve"> CHARMOR PM 40</v>
      </c>
      <c r="L534" s="1">
        <v>0.106</v>
      </c>
      <c r="M534" s="2">
        <f>(M$449*L534)</f>
        <v>106</v>
      </c>
    </row>
    <row r="535">
      <c r="A535" t="str">
        <v>הכנס בזרם דק עד להומוגניות  בF 15</v>
      </c>
      <c r="C535" s="3" t="str">
        <v>Texanol</v>
      </c>
      <c r="D535" s="1">
        <v>0.0117</v>
      </c>
      <c r="E535" s="2">
        <f>(E$518*D535)</f>
        <v>14.040000000000001</v>
      </c>
      <c r="I535" t="str">
        <v>הכנס ללא גושים ובסיום דספרסיה 5 דקות  בF 18</v>
      </c>
      <c r="K535" t="str">
        <v>MELAFINE</v>
      </c>
      <c r="L535" s="1">
        <v>0.106</v>
      </c>
      <c r="M535" s="2">
        <f>(M$449*L535)</f>
        <v>106</v>
      </c>
    </row>
    <row r="536" ht="27.600000000000005" customHeight="1">
      <c r="A536" t="str">
        <v>הכנס ללא גושים  ב F18 עליה ל F21 ובסיום דספרסיה במשך 5 דקות . שים לב שלא יתחמם מידי</v>
      </c>
      <c r="C536" s="3" t="str">
        <v>FR CROS 584</v>
      </c>
      <c r="D536" s="1">
        <v>0.2409</v>
      </c>
      <c r="E536" s="2">
        <f>(E$518*D536)</f>
        <v>289.08</v>
      </c>
      <c r="I536" t="str">
        <v>הכנס בזרם דק עד להומוגניות  בF 15</v>
      </c>
      <c r="K536" s="3" t="str">
        <v>Texanol</v>
      </c>
      <c r="L536" s="1">
        <v>0.0117</v>
      </c>
      <c r="M536" s="2">
        <f>(M$449*L536)</f>
        <v>11.700000000000001</v>
      </c>
    </row>
    <row r="537" ht="27.600000000000005" customHeight="1">
      <c r="C537" s="3" t="str">
        <v>FG 400/040</v>
      </c>
      <c r="D537" s="1">
        <v>0.02</v>
      </c>
      <c r="E537" s="2">
        <f>(E$518*D537)</f>
        <v>24</v>
      </c>
      <c r="I537" t="str">
        <v>הכנס ללא גושים  ב F18 עליה ל F21 ובסיום דספרסיה במשך 5 דקות . שים לב שלא יתחמם מידי</v>
      </c>
      <c r="K537" s="3" t="str">
        <v>EXOLIT AP435</v>
      </c>
      <c r="L537" s="1">
        <v>0.2749</v>
      </c>
      <c r="M537" s="2">
        <f>(M$449*L537)</f>
        <v>274.9</v>
      </c>
    </row>
    <row r="538">
      <c r="A538" t="str">
        <v>הכנס בזרם דק עד להומוגניות  בF 12</v>
      </c>
      <c r="C538" s="3" t="str">
        <v>ENCOR 2394</v>
      </c>
      <c r="D538" s="1">
        <v>0.212</v>
      </c>
      <c r="E538" s="2">
        <f>(E$518*D538)</f>
        <v>254.4</v>
      </c>
      <c r="I538" t="str">
        <v>להכניס לאט ובהדרגה  לפוזור מלא ב12 F</v>
      </c>
      <c r="K538" s="3" t="str">
        <v>Lapinus CF 10</v>
      </c>
      <c r="L538" s="1">
        <v>0.02</v>
      </c>
      <c r="M538" s="2">
        <f>(M$449*L538)</f>
        <v>20</v>
      </c>
    </row>
    <row r="539">
      <c r="A539" t="str">
        <v>יש להכניס תוך ערבוב ולהמשיך ערבוב איטי כ5 דקות</v>
      </c>
      <c r="C539" s="3" t="str">
        <v>AGITAN 80</v>
      </c>
      <c r="D539" s="1">
        <v>0.001</v>
      </c>
      <c r="E539" s="2">
        <f>(E$518*D539)</f>
        <v>1.2</v>
      </c>
      <c r="I539" t="str">
        <v>הכנס בזרם דק עד להומוגניות  בF 12  לאחר מכן הכנס אגיטן ובסיום המשך 7 דקות ערבול</v>
      </c>
      <c r="K539" s="3" t="str">
        <v>VINNAPAS EZ 3019</v>
      </c>
      <c r="L539" s="1">
        <v>0.192</v>
      </c>
      <c r="M539" s="2">
        <f>(M$449*L539)</f>
        <v>192</v>
      </c>
    </row>
    <row r="540">
      <c r="D540" s="4">
        <f>SUM(D526:D539)</f>
        <v>1</v>
      </c>
      <c r="E540" s="2">
        <v>1200</v>
      </c>
      <c r="K540" s="3" t="str">
        <v>AGITAN 80</v>
      </c>
      <c r="L540" s="1">
        <v>0.0005</v>
      </c>
      <c r="M540" s="2">
        <f>(M$449*L540)</f>
        <v>0.5</v>
      </c>
    </row>
    <row r="541">
      <c r="E541" s="2">
        <f>SUM(E526:E539)</f>
        <v>1200</v>
      </c>
      <c r="L541" s="4">
        <f>SUM(L527:L540)</f>
        <v>1</v>
      </c>
      <c r="M541" s="2">
        <v>1000</v>
      </c>
    </row>
    <row r="542">
      <c r="M542" s="2">
        <f>SUM(M527:M540)</f>
        <v>1000</v>
      </c>
    </row>
    <row r="545">
      <c r="A545" t="str">
        <v xml:space="preserve">            13.8.2023-030     Fresco INTUMESCENT</v>
      </c>
    </row>
    <row r="546">
      <c r="A546" t="str">
        <v>על בסיס 022- 028   VINNAPAS EZ 3112 + סיבים FG 400/040</v>
      </c>
    </row>
    <row r="547">
      <c r="A547" t="str">
        <v>הוראות יצור</v>
      </c>
      <c r="B547" t="str">
        <v>שעה - הערות</v>
      </c>
      <c r="D547" t="str">
        <v>חומר</v>
      </c>
      <c r="E547" t="str">
        <v>כמות ק''ג</v>
      </c>
      <c r="I547" t="str">
        <v xml:space="preserve">           13.82023-031    Fresco INTUMESCENT</v>
      </c>
    </row>
    <row r="548">
      <c r="A548" t="str">
        <v>הכנס חומרים לאט ופזר היטב. הפעל 5 דקות דספרסיה בין הכנסת כל חומר. וודא שאין קצף לפני המעבר לשלב הבא. עבוד במהירות בF10</v>
      </c>
      <c r="C548" t="str">
        <v>water</v>
      </c>
      <c r="D548" s="1">
        <v>0.1672</v>
      </c>
      <c r="E548" s="2">
        <f>(E$562*D548)</f>
        <v>167.2</v>
      </c>
      <c r="I548" t="str">
        <v>על בסיס  023-028   ENCOR 2394  + סיבים  FG 400/040</v>
      </c>
    </row>
    <row r="549">
      <c r="C549" t="str">
        <v>OROTAN 731</v>
      </c>
      <c r="D549" s="4">
        <v>0.0016</v>
      </c>
      <c r="E549" s="2">
        <f>(E$562*D549)</f>
        <v>1.6</v>
      </c>
      <c r="I549" t="str">
        <v>הוראות יצור</v>
      </c>
      <c r="J549" t="str">
        <v>שעה - הערות</v>
      </c>
      <c r="L549" t="str">
        <v>חומר</v>
      </c>
      <c r="M549" t="str">
        <v>כמות ק''ג</v>
      </c>
    </row>
    <row r="550">
      <c r="C550" t="str">
        <v>AGITAN 80</v>
      </c>
      <c r="D550" s="4">
        <v>0.001</v>
      </c>
      <c r="E550" s="2">
        <f>(E$562*D550)</f>
        <v>1</v>
      </c>
      <c r="I550" t="str">
        <v>הכנס חומרים לאט ופזר היטב. הפעל 5 דקות דספרסיה בין הכנסת כל חומר. וודא שאין קצף לפני המעבר לשלב הבא. עבוד במהירות בF10</v>
      </c>
      <c r="K550" t="str">
        <v>water</v>
      </c>
      <c r="L550" s="1">
        <v>0.1672</v>
      </c>
      <c r="M550" s="2">
        <f>(M$564*L550)</f>
        <v>167.2</v>
      </c>
    </row>
    <row r="551">
      <c r="C551" t="str">
        <v>Biocide CMIF</v>
      </c>
      <c r="D551" s="1">
        <v>0.002</v>
      </c>
      <c r="E551" s="2">
        <f>(E$562*D551)</f>
        <v>2</v>
      </c>
      <c r="K551" t="str">
        <v>OROTAN 731</v>
      </c>
      <c r="L551" s="4">
        <v>0.0016</v>
      </c>
      <c r="M551" s="2">
        <f>(M$564*L551)</f>
        <v>1.6</v>
      </c>
    </row>
    <row r="552">
      <c r="C552" t="str">
        <v>COMBIZELL</v>
      </c>
      <c r="D552" s="1">
        <v>0.001</v>
      </c>
      <c r="E552" s="2">
        <f>(E$562*D552)</f>
        <v>1</v>
      </c>
      <c r="K552" t="str">
        <v>AGITAN 80</v>
      </c>
      <c r="L552" s="4">
        <v>0.001</v>
      </c>
      <c r="M552" s="2">
        <f>(M$564*L552)</f>
        <v>1</v>
      </c>
    </row>
    <row r="553">
      <c r="C553" t="str">
        <v>AGITAN 80</v>
      </c>
      <c r="D553" s="1">
        <v>0.001</v>
      </c>
      <c r="E553" s="2">
        <f>(E$562*D553)</f>
        <v>1</v>
      </c>
      <c r="K553" t="str">
        <v>Biocide CMIF</v>
      </c>
      <c r="L553" s="1">
        <v>0.002</v>
      </c>
      <c r="M553" s="2">
        <f>(M$564*L553)</f>
        <v>2</v>
      </c>
    </row>
    <row r="554">
      <c r="A554" t="str">
        <v>הכנס ללא גושים ובסיום דספרסיה 5 דקות  בF 13</v>
      </c>
      <c r="C554" t="str">
        <v>TIONA 826</v>
      </c>
      <c r="D554" s="1">
        <v>0.12</v>
      </c>
      <c r="E554" s="2">
        <f>(E$562*D554)</f>
        <v>120</v>
      </c>
      <c r="K554" t="str">
        <v>COMBIZELL</v>
      </c>
      <c r="L554" s="1">
        <v>0.001</v>
      </c>
      <c r="M554" s="2">
        <f>(M$564*L554)</f>
        <v>1</v>
      </c>
    </row>
    <row r="555">
      <c r="A555" t="str">
        <v>הכנס ללא גושים ובסיום דספרסיה 5 דקות  בF 15</v>
      </c>
      <c r="C555" t="str">
        <v xml:space="preserve"> CHARMOR PM 40</v>
      </c>
      <c r="D555" s="1">
        <v>0.106</v>
      </c>
      <c r="E555" s="2">
        <f>(E$562*D555)</f>
        <v>106</v>
      </c>
      <c r="K555" t="str">
        <v>AGITAN 80</v>
      </c>
      <c r="L555" s="1">
        <v>0.001</v>
      </c>
      <c r="M555" s="2">
        <f>(M$564*L555)</f>
        <v>1</v>
      </c>
    </row>
    <row r="556">
      <c r="A556" t="str">
        <v>הכנס ללא גושים ובסיום דספרסיה 5 דקות  בF 18</v>
      </c>
      <c r="C556" t="str">
        <v>MELAFINE</v>
      </c>
      <c r="D556" s="1">
        <v>0.106</v>
      </c>
      <c r="E556" s="2">
        <f>(E$562*D556)</f>
        <v>106</v>
      </c>
      <c r="I556" t="str">
        <v>הכנס ללא גושים ובסיום דספרסיה 5 דקות  בF 13</v>
      </c>
      <c r="K556" t="str">
        <v>TIONA 826</v>
      </c>
      <c r="L556" s="1">
        <v>0.12</v>
      </c>
      <c r="M556" s="2">
        <f>(M$564*L556)</f>
        <v>120</v>
      </c>
    </row>
    <row r="557">
      <c r="A557" t="str">
        <v>הכנס בזרם דק עד להומוגניות  בF 15</v>
      </c>
      <c r="C557" s="3" t="str">
        <v>Texanol</v>
      </c>
      <c r="D557" s="1">
        <v>0.0117</v>
      </c>
      <c r="E557" s="2">
        <f>(E$562*D557)</f>
        <v>11.700000000000001</v>
      </c>
      <c r="I557" t="str">
        <v>הכנס ללא גושים ובסיום דספרסיה 5 דקות  בF 15</v>
      </c>
      <c r="K557" t="str">
        <v xml:space="preserve"> CHARMOR PM 40</v>
      </c>
      <c r="L557" s="1">
        <v>0.106</v>
      </c>
      <c r="M557" s="2">
        <f>(M$564*L557)</f>
        <v>106</v>
      </c>
    </row>
    <row r="558" ht="27.600000000000005" customHeight="1">
      <c r="A558" t="str">
        <v>הכנס ללא גושים  ב F18 עליה ל F21 ובסיום דספרסיה במשך 5 דקות . שים לב שלא יתחמם מידי</v>
      </c>
      <c r="C558" s="3" t="str">
        <v>EXOLIT AP435</v>
      </c>
      <c r="D558" s="1">
        <v>0.24</v>
      </c>
      <c r="E558" s="2">
        <f>(E$562*D558)</f>
        <v>240</v>
      </c>
      <c r="I558" t="str">
        <v>הכנס ללא גושים ובסיום דספרסיה 5 דקות  בF 18</v>
      </c>
      <c r="K558" t="str">
        <v>MELAFINE</v>
      </c>
      <c r="L558" s="1">
        <v>0.106</v>
      </c>
      <c r="M558" s="2">
        <f>(M$564*L558)</f>
        <v>106</v>
      </c>
    </row>
    <row r="559">
      <c r="A559" t="str">
        <v>להכניס לאט ובהדרגה  לפוזור מלא ב12 F</v>
      </c>
      <c r="C559" s="3" t="str">
        <v>FG 400/040</v>
      </c>
      <c r="D559" s="1">
        <v>0.03</v>
      </c>
      <c r="E559" s="2">
        <f>(E$562*D559)</f>
        <v>30</v>
      </c>
      <c r="I559" t="str">
        <v>הכנס בזרם דק עד להומוגניות  בF 15</v>
      </c>
      <c r="K559" s="3" t="str">
        <v>Texanol</v>
      </c>
      <c r="L559" s="1">
        <v>0.0117</v>
      </c>
      <c r="M559" s="2">
        <f>(M$564*L559)</f>
        <v>11.700000000000001</v>
      </c>
    </row>
    <row r="560" ht="27.600000000000005" customHeight="1">
      <c r="A560" t="str">
        <v>הכנס בזרם דק עד להומוגניות  בF 12  לאחר מכן הכנס אגיטן ובסיום המשך 7 דקות ערבול</v>
      </c>
      <c r="C560" s="3" t="str">
        <v>VINNAPAS EZ 3112</v>
      </c>
      <c r="D560" s="1">
        <v>0.212</v>
      </c>
      <c r="E560" s="2">
        <f>(E$562*D560)</f>
        <v>212</v>
      </c>
      <c r="I560" t="str">
        <v>הכנס ללא גושים  ב F18 עליה ל F21 ובסיום דספרסיה במשך 5 דקות . שים לב שלא יתחמם מידי</v>
      </c>
      <c r="K560" s="3" t="str">
        <v>EXOLIT AP435</v>
      </c>
      <c r="L560" s="1">
        <v>0.24</v>
      </c>
      <c r="M560" s="2">
        <f>(M$564*L560)</f>
        <v>240</v>
      </c>
    </row>
    <row r="561" ht="17.4" customHeight="1">
      <c r="C561" s="3" t="str">
        <v>AGITAN 80</v>
      </c>
      <c r="D561" s="1">
        <v>0.0005</v>
      </c>
      <c r="E561" s="2">
        <f>(E$562*D561)</f>
        <v>0.5</v>
      </c>
      <c r="I561" t="str">
        <v>להכניס לאט ובהדרגה  לפוזור מלא ב12 F</v>
      </c>
      <c r="K561" s="3" t="str">
        <v>FG 400/040</v>
      </c>
      <c r="L561" s="1">
        <v>0.03</v>
      </c>
      <c r="M561" s="2">
        <f>(M$564*L561)</f>
        <v>30</v>
      </c>
    </row>
    <row r="562">
      <c r="D562" s="4">
        <f>SUM(D548:D561)</f>
        <v>0.9999999999999999</v>
      </c>
      <c r="E562" s="2">
        <v>1000</v>
      </c>
      <c r="I562" t="str">
        <v>הכנס בזרם דק עד להומוגניות  בF 12 לאחר מכן הכנס אגיטן ובסיום המשך 7 דקות ערבול</v>
      </c>
      <c r="K562" s="3" t="str">
        <v>ENCOR 2394</v>
      </c>
      <c r="L562" s="1">
        <v>0.212</v>
      </c>
      <c r="M562" s="2">
        <f>(M$564*L562)</f>
        <v>212</v>
      </c>
    </row>
    <row r="563">
      <c r="E563" s="2">
        <f>SUM(E548:E561)</f>
        <v>1000</v>
      </c>
      <c r="K563" s="3" t="str">
        <v>AGITAN 80</v>
      </c>
      <c r="L563" s="1">
        <v>0.0005</v>
      </c>
      <c r="M563" s="2">
        <f>(M$564*L563)</f>
        <v>0.5</v>
      </c>
    </row>
    <row r="564">
      <c r="L564" s="4">
        <f>SUM(L550:L563)</f>
        <v>0.9999999999999999</v>
      </c>
      <c r="M564" s="2">
        <v>1000</v>
      </c>
    </row>
    <row r="565">
      <c r="M565" s="2">
        <f>SUM(M550:M563)</f>
        <v>1000</v>
      </c>
    </row>
    <row r="568">
      <c r="A568" t="str">
        <v xml:space="preserve">         13.8.2023-032    Fresco INTUMESCENT</v>
      </c>
      <c r="I568" t="str">
        <v xml:space="preserve">         13.8.2023-033   Fresco INTUMESCENT</v>
      </c>
    </row>
    <row r="569">
      <c r="A569" t="str">
        <v>ג על פי הנחיות בבודנהיים - עם FEXOLIT AP435 +VINNAPAS EZ 3112, הגדלת TIO2 ומסמיך + 759 CROS</v>
      </c>
      <c r="I569" t="str">
        <v>ג על פי הנחיות בבודנהיים - עם FEXOLIT AP435 +ENCOR 2394, הגדלת TIO2 ומסמיך + 759 CROS</v>
      </c>
    </row>
    <row r="570">
      <c r="A570" t="str">
        <v>הוראות יצור</v>
      </c>
      <c r="B570" t="str">
        <v>שעה - הערות</v>
      </c>
      <c r="D570" t="str">
        <v>חומר</v>
      </c>
      <c r="E570" t="str">
        <v>כמות ק''ג</v>
      </c>
      <c r="I570" t="str">
        <v>הוראות יצור</v>
      </c>
      <c r="J570" t="str">
        <v>שעה - הערות</v>
      </c>
      <c r="L570" t="str">
        <v>חומר</v>
      </c>
      <c r="M570" t="str">
        <v>כמות ק''ג</v>
      </c>
    </row>
    <row r="571">
      <c r="A571" t="str">
        <v>הכנס חומרים לאט ופזר היטב. הפעל 5 דקות דספרסיה בין הכנסת כל חומר. וודא שאין קצף לפני המעבר לשלב הבא. עבוד במהירות בF10</v>
      </c>
      <c r="C571" t="str">
        <v>water</v>
      </c>
      <c r="D571" s="1">
        <v>0.1756</v>
      </c>
      <c r="E571" s="2">
        <f>(E$585*D571)</f>
        <v>228.28</v>
      </c>
      <c r="I571" t="str">
        <v>הכנס חומרים לאט ופזר היטב. הפעל 5 דקות דספרסיה בין הכנסת כל חומר. וודא שאין קצף לפני המעבר לשלב הבא. עבוד במהירות בF10</v>
      </c>
      <c r="K571" t="str">
        <v>water</v>
      </c>
      <c r="L571" s="1">
        <v>0.1756</v>
      </c>
      <c r="M571" s="2">
        <f>(M$585*L571)</f>
        <v>175.6</v>
      </c>
    </row>
    <row r="572">
      <c r="C572" t="str">
        <v>OROTAN 731</v>
      </c>
      <c r="D572" s="4">
        <v>0.0016</v>
      </c>
      <c r="E572" s="2">
        <f>(E$585*D572)</f>
        <v>2.08</v>
      </c>
      <c r="K572" t="str">
        <v>OROTAN 731</v>
      </c>
      <c r="L572" s="4">
        <v>0.0016</v>
      </c>
      <c r="M572" s="2">
        <f>(M$585*L572)</f>
        <v>1.6</v>
      </c>
    </row>
    <row r="573">
      <c r="C573" t="str">
        <v>AGITAN 80</v>
      </c>
      <c r="D573" s="4">
        <v>0.001</v>
      </c>
      <c r="E573" s="2">
        <f>(E$585*D584)</f>
        <v>1.3</v>
      </c>
      <c r="K573" t="str">
        <v>AGITAN 80</v>
      </c>
      <c r="L573" s="4">
        <v>0.001</v>
      </c>
      <c r="M573" s="2">
        <f>(M$585*L584)</f>
        <v>1</v>
      </c>
    </row>
    <row r="574">
      <c r="C574" t="str">
        <v>Biocide CMIF</v>
      </c>
      <c r="D574" s="1">
        <v>0.002</v>
      </c>
      <c r="E574" s="2">
        <f>(E$585*D574)</f>
        <v>2.6</v>
      </c>
      <c r="K574" t="str">
        <v>Biocide CMIF</v>
      </c>
      <c r="L574" s="1">
        <v>0.002</v>
      </c>
      <c r="M574" s="2">
        <f>(M$585*L574)</f>
        <v>2</v>
      </c>
    </row>
    <row r="575">
      <c r="C575" t="str">
        <v>COMBIZELL</v>
      </c>
      <c r="D575" s="1">
        <v>0.0012</v>
      </c>
      <c r="E575" s="2">
        <f>(E$585*D575)</f>
        <v>1.5599999999999998</v>
      </c>
      <c r="K575" t="str">
        <v>COMBIZELL</v>
      </c>
      <c r="L575" s="1">
        <v>0.0012</v>
      </c>
      <c r="M575" s="2">
        <f>(M$585*L575)</f>
        <v>1.2</v>
      </c>
    </row>
    <row r="576">
      <c r="C576" t="str">
        <v>AGITAN 80</v>
      </c>
      <c r="D576" s="1">
        <v>0.001</v>
      </c>
      <c r="E576" s="2">
        <f>(E$585*D576)</f>
        <v>1.3</v>
      </c>
      <c r="K576" t="str">
        <v>AGITAN 80</v>
      </c>
      <c r="L576" s="1">
        <v>0.001</v>
      </c>
      <c r="M576" s="2">
        <f>(M$585*L576)</f>
        <v>1</v>
      </c>
    </row>
    <row r="577">
      <c r="A577" t="str">
        <v>הכנס ללא גושים ובסיום דספרסיה 5 דקות  בF 13</v>
      </c>
      <c r="C577" t="str">
        <v>TIONA 826</v>
      </c>
      <c r="D577" s="1">
        <v>0.12</v>
      </c>
      <c r="E577" s="2">
        <f>(E$585*D577)</f>
        <v>156</v>
      </c>
      <c r="I577" t="str">
        <v>הכנס ללא גושים ובסיום דספרסיה 5 דקות  בF 13</v>
      </c>
      <c r="K577" t="str">
        <v>TIONA 826</v>
      </c>
      <c r="L577" s="1">
        <v>0.12</v>
      </c>
      <c r="M577" s="2">
        <f>(M$585*L577)</f>
        <v>120</v>
      </c>
    </row>
    <row r="578">
      <c r="A578" t="str">
        <v>הכנס ללא גושים ובסיום דספרסיה 5 דקות  בF 15</v>
      </c>
      <c r="C578" t="str">
        <v xml:space="preserve"> CHARMOR PM 40</v>
      </c>
      <c r="D578" s="1">
        <v>0.106</v>
      </c>
      <c r="E578" s="2">
        <f>(E$585*D578)</f>
        <v>137.79999999999998</v>
      </c>
      <c r="I578" t="str">
        <v>הכנס ללא גושים ובסיום דספרסיה 5 דקות  בF 15</v>
      </c>
      <c r="K578" t="str">
        <v xml:space="preserve"> CHARMOR PM 40</v>
      </c>
      <c r="L578" s="1">
        <v>0.106</v>
      </c>
      <c r="M578" s="2">
        <f>(M$585*L578)</f>
        <v>106</v>
      </c>
    </row>
    <row r="579">
      <c r="C579" t="str">
        <v>FR CROS 759</v>
      </c>
      <c r="D579" s="1">
        <v>0.01</v>
      </c>
      <c r="E579" s="2">
        <f>(E$585*D579)</f>
        <v>13</v>
      </c>
      <c r="K579" t="str">
        <v>FR CROS 759</v>
      </c>
      <c r="L579" s="1">
        <v>0.01</v>
      </c>
      <c r="M579" s="2">
        <f>(M$585*L579)</f>
        <v>10</v>
      </c>
    </row>
    <row r="580">
      <c r="A580" t="str">
        <v>הכנס ללא גושים ובסיום דספרסיה 5 דקות  בF 18</v>
      </c>
      <c r="C580" t="str">
        <v>MELAFINE</v>
      </c>
      <c r="D580" s="1">
        <v>0.106</v>
      </c>
      <c r="E580" s="2">
        <f>(E$585*D580)</f>
        <v>137.79999999999998</v>
      </c>
      <c r="I580" t="str">
        <v>הכנס ללא גושים ובסיום דספרסיה 5 דקות  בF 18</v>
      </c>
      <c r="K580" t="str">
        <v>MELAFINE</v>
      </c>
      <c r="L580" s="1">
        <v>0.106</v>
      </c>
      <c r="M580" s="2">
        <f>(M$585*L580)</f>
        <v>106</v>
      </c>
    </row>
    <row r="581">
      <c r="A581" t="str">
        <v>הכנס בזרם דק עד להומוגניות  בF 15</v>
      </c>
      <c r="C581" s="3" t="str">
        <v>Texanol</v>
      </c>
      <c r="D581" s="1">
        <v>0.0117</v>
      </c>
      <c r="E581" s="2">
        <f>(E$585*D581)</f>
        <v>15.21</v>
      </c>
      <c r="I581" t="str">
        <v>הכנס בזרם דק עד להומוגניות  בF 15</v>
      </c>
      <c r="K581" s="3" t="str">
        <v>Texanol</v>
      </c>
      <c r="L581" s="1">
        <v>0.0117</v>
      </c>
      <c r="M581" s="2">
        <f>(M$585*L581)</f>
        <v>11.700000000000001</v>
      </c>
    </row>
    <row r="582" ht="27.600000000000005" customHeight="1">
      <c r="A582" t="str">
        <v>הכנס ללא גושים  ב F18 עליה ל F21 ובסיום דספרסיה במשך 5 דקות . שים לב שלא יתחמם מידי</v>
      </c>
      <c r="C582" s="3" t="str">
        <v>EXOLIT AP435</v>
      </c>
      <c r="D582" s="1">
        <v>0.2509</v>
      </c>
      <c r="E582" s="2">
        <f>(E$585*D582)</f>
        <v>326.17</v>
      </c>
      <c r="I582" t="str">
        <v>הכנס ללא גושים  ב F18 עליה ל F21 ובסיום דספרסיה במשך 5 דקות . שים לב שלא יתחמם מידי</v>
      </c>
      <c r="K582" s="3" t="str">
        <v>EXOLIT AP435</v>
      </c>
      <c r="L582" s="1">
        <v>0.2509</v>
      </c>
      <c r="M582" s="2">
        <f>(M$585*L582)</f>
        <v>250.9</v>
      </c>
    </row>
    <row r="583">
      <c r="A583" t="str">
        <v>הכנס בזרם דק עד להומוגניות  בF 12</v>
      </c>
      <c r="C583" s="3" t="str">
        <v>VINNAPAS EZ 3112</v>
      </c>
      <c r="D583" s="1">
        <v>0.212</v>
      </c>
      <c r="E583" s="2">
        <f>(E$585*D583)</f>
        <v>275.59999999999997</v>
      </c>
      <c r="I583" t="str">
        <v>הכנס בזרם דק עד להומוגניות  בF 12</v>
      </c>
      <c r="K583" s="3" t="str">
        <v>ENCOR 2394</v>
      </c>
      <c r="L583" s="1">
        <v>0.212</v>
      </c>
      <c r="M583" s="2">
        <f>(M$585*L583)</f>
        <v>212</v>
      </c>
    </row>
    <row r="584">
      <c r="A584" t="str">
        <v>יש להכניס תוך ערבוב ולהמשיך ערבוב איטי כ5 דקות</v>
      </c>
      <c r="C584" s="3" t="str">
        <v>AGITAN 80</v>
      </c>
      <c r="D584" s="1">
        <v>0.001</v>
      </c>
      <c r="E584" s="2">
        <f>(E$585*D584)</f>
        <v>1.3</v>
      </c>
      <c r="I584" t="str">
        <v>יש להכניס תוך ערבוב ולהמשיך ערבוב איטי כ5 דקות</v>
      </c>
      <c r="K584" s="3" t="str">
        <v>AGITAN 80</v>
      </c>
      <c r="L584" s="1">
        <v>0.001</v>
      </c>
      <c r="M584" s="2">
        <f>(M$585*L584)</f>
        <v>1</v>
      </c>
    </row>
    <row r="585">
      <c r="D585" s="4">
        <f>SUM(D571:D584)</f>
        <v>1</v>
      </c>
      <c r="E585" s="2">
        <v>1300</v>
      </c>
      <c r="L585" s="4">
        <f>SUM(L571:L584)</f>
        <v>1</v>
      </c>
      <c r="M585" s="2">
        <v>1000</v>
      </c>
    </row>
    <row r="586">
      <c r="E586" s="2">
        <f>SUM(E571:E584)</f>
        <v>1299.9999999999998</v>
      </c>
      <c r="M586" s="2">
        <f>SUM(M571:M584)</f>
        <v>1000</v>
      </c>
    </row>
    <row r="591">
      <c r="I591" t="str">
        <v xml:space="preserve">            15.8.2023-035     Fresco INTUMESCENT</v>
      </c>
    </row>
    <row r="592">
      <c r="A592" t="str">
        <v xml:space="preserve">            15.8.2023-034     Fresco INTUMESCENT</v>
      </c>
      <c r="I592" t="str">
        <v>על בסיס   025 32-   ENCOR 2394 הוספת CC401, עליה בטיטניום ומסמיכם  סיבים  Lapinus CF 10</v>
      </c>
    </row>
    <row r="593">
      <c r="A593" t="str">
        <v>על בסיס   025 022-   VINNAPAS EZ 3112 הוספת CC401, עליה בטיטניום ומסמיכםסיבים  Lapinus CF 10</v>
      </c>
      <c r="I593" t="str">
        <v>הוראות יצור</v>
      </c>
      <c r="J593" t="str">
        <v>שעה - הערות</v>
      </c>
      <c r="L593" t="str">
        <v>חומר</v>
      </c>
      <c r="M593" t="str">
        <v>כמות ק''ג</v>
      </c>
    </row>
    <row r="594">
      <c r="A594" t="str">
        <v>הוראות יצור</v>
      </c>
      <c r="B594" t="str">
        <v>שעה - הערות</v>
      </c>
      <c r="D594" t="str">
        <v>חומר</v>
      </c>
      <c r="E594" t="str">
        <v>כמות ק''ג</v>
      </c>
      <c r="I594" t="str">
        <v>הכנס חומרים לאט ופזר היטב. הפעל 5 דקות דספרסיה בין הכנסת כל חומר. וודא שאין קצף לפני המעבר לשלב הבא. עבוד במהירות בF10</v>
      </c>
      <c r="K594" t="str">
        <v>water</v>
      </c>
      <c r="L594" s="1">
        <v>0.1361</v>
      </c>
      <c r="M594" s="2">
        <f>(M$609*L594)</f>
        <v>176.93</v>
      </c>
    </row>
    <row r="595">
      <c r="A595" t="str">
        <v>הכנס חומרים לאט ופזר היטב. הפעל 5 דקות דספרסיה בין הכנסת כל חומר. וודא שאין קצף לפני המעבר לשלב הבא. עבוד במהירות בF10</v>
      </c>
      <c r="C595" t="str">
        <v>water</v>
      </c>
      <c r="D595" s="1">
        <v>0.1361</v>
      </c>
      <c r="E595" s="2">
        <f>(E$449*D595)</f>
        <v>136.1</v>
      </c>
      <c r="K595" t="str">
        <v>Levasil CC401</v>
      </c>
      <c r="L595" s="1">
        <v>0.04</v>
      </c>
      <c r="M595" s="2">
        <f>(M609*L595)</f>
        <v>52</v>
      </c>
    </row>
    <row r="596">
      <c r="C596" t="str">
        <v>Levasil CC401</v>
      </c>
      <c r="D596" s="1">
        <v>0.04</v>
      </c>
      <c r="E596" s="2">
        <f>(E610*D596)</f>
        <v>40</v>
      </c>
      <c r="K596" t="str">
        <v>OROTAN 731</v>
      </c>
      <c r="L596" s="4">
        <v>0.0016</v>
      </c>
      <c r="M596" s="2">
        <f>(M$609*L596)</f>
        <v>2.08</v>
      </c>
    </row>
    <row r="597">
      <c r="C597" t="str">
        <v>OROTAN 731</v>
      </c>
      <c r="D597" s="4">
        <v>0.0016</v>
      </c>
      <c r="E597" s="2">
        <f>(E$449*D597)</f>
        <v>1.6</v>
      </c>
      <c r="K597" t="str">
        <v>AGITAN 80</v>
      </c>
      <c r="L597" s="4">
        <v>0.001</v>
      </c>
      <c r="M597" s="2">
        <f>(M$609*L597)</f>
        <v>1.3</v>
      </c>
    </row>
    <row r="598">
      <c r="C598" t="str">
        <v>AGITAN 80</v>
      </c>
      <c r="D598" s="4">
        <v>0.001</v>
      </c>
      <c r="E598" s="2">
        <f>(E$449*D598)</f>
        <v>1</v>
      </c>
      <c r="K598" t="str">
        <v>Biocide CMIF</v>
      </c>
      <c r="L598" s="1">
        <v>0.002</v>
      </c>
      <c r="M598" s="2">
        <f>(M$609*L598)</f>
        <v>2.6</v>
      </c>
    </row>
    <row r="599">
      <c r="C599" t="str">
        <v>Biocide CMIF</v>
      </c>
      <c r="D599" s="1">
        <v>0.002</v>
      </c>
      <c r="E599" s="2">
        <f>(E$449*D599)</f>
        <v>2</v>
      </c>
      <c r="K599" t="str">
        <v>COMBIZELL</v>
      </c>
      <c r="L599" s="1">
        <v>0.0012</v>
      </c>
      <c r="M599" s="2">
        <f>(M$609*L599)</f>
        <v>1.5599999999999998</v>
      </c>
    </row>
    <row r="600">
      <c r="C600" t="str">
        <v>COMBIZELL</v>
      </c>
      <c r="D600" s="1">
        <v>0.0012</v>
      </c>
      <c r="E600" s="2">
        <f>(E$449*D600)</f>
        <v>1.2</v>
      </c>
      <c r="K600" t="str">
        <v>AGITAN 80</v>
      </c>
      <c r="L600" s="1">
        <v>0.001</v>
      </c>
      <c r="M600" s="2">
        <f>(M$609*L600)</f>
        <v>1.3</v>
      </c>
    </row>
    <row r="601">
      <c r="C601" t="str">
        <v>AGITAN 80</v>
      </c>
      <c r="D601" s="1">
        <v>0.001</v>
      </c>
      <c r="E601" s="2">
        <f>(E$449*D601)</f>
        <v>1</v>
      </c>
      <c r="I601" t="str">
        <v>הכנס ללא גושים ובסיום דספרסיה 5 דקות  בF 13</v>
      </c>
      <c r="K601" t="str">
        <v>TIONA 826</v>
      </c>
      <c r="L601" s="1">
        <v>0.12</v>
      </c>
      <c r="M601" s="2">
        <f>(M$609*L601)</f>
        <v>156</v>
      </c>
    </row>
    <row r="602">
      <c r="A602" t="str">
        <v>הכנס ללא גושים ובסיום דספרסיה 5 דקות  בF 13</v>
      </c>
      <c r="C602" t="str">
        <v>TIONA 826</v>
      </c>
      <c r="D602" s="1">
        <v>0.12</v>
      </c>
      <c r="E602" s="2">
        <f>(E$449*D602)</f>
        <v>120</v>
      </c>
      <c r="I602" t="str">
        <v>הכנס ללא גושים ובסיום דספרסיה 5 דקות  בF 15</v>
      </c>
      <c r="K602" t="str">
        <v xml:space="preserve"> CHARMOR PM 40</v>
      </c>
      <c r="L602" s="1">
        <v>0.101</v>
      </c>
      <c r="M602" s="2">
        <f>(M$609*L602)</f>
        <v>131.3</v>
      </c>
    </row>
    <row r="603">
      <c r="A603" t="str">
        <v>הכנס ללא גושים ובסיום דספרסיה 5 דקות  בF 15</v>
      </c>
      <c r="C603" t="str">
        <v xml:space="preserve"> CHARMOR PM 40</v>
      </c>
      <c r="D603" s="1">
        <v>0.101</v>
      </c>
      <c r="E603" s="2">
        <f>(E$449*D603)</f>
        <v>101</v>
      </c>
      <c r="I603" t="str">
        <v>הכנס ללא גושים ובסיום דספרסיה 5 דקות  בF 18</v>
      </c>
      <c r="K603" t="str">
        <v>MELAFINE</v>
      </c>
      <c r="L603" s="1">
        <v>0.101</v>
      </c>
      <c r="M603" s="2">
        <f>(M$609*L603)</f>
        <v>131.3</v>
      </c>
    </row>
    <row r="604">
      <c r="A604" t="str">
        <v>הכנס ללא גושים ובסיום דספרסיה 5 דקות  בF 18</v>
      </c>
      <c r="C604" t="str">
        <v>MELAFINE</v>
      </c>
      <c r="D604" s="1">
        <v>0.101</v>
      </c>
      <c r="E604" s="2">
        <f>(E$449*D604)</f>
        <v>101</v>
      </c>
      <c r="I604" t="str">
        <v>הכנס בזרם דק עד להומוגניות  בF 15</v>
      </c>
      <c r="K604" s="3" t="str">
        <v>Texanol</v>
      </c>
      <c r="L604" s="1">
        <v>0.0117</v>
      </c>
      <c r="M604" s="2">
        <f>(M$609*L604)</f>
        <v>15.21</v>
      </c>
    </row>
    <row r="605" ht="27.600000000000005" customHeight="1">
      <c r="A605" t="str">
        <v>הכנס בזרם דק עד להומוגניות  בF 15</v>
      </c>
      <c r="C605" s="3" t="str">
        <v>Texanol</v>
      </c>
      <c r="D605" s="1">
        <v>0.0117</v>
      </c>
      <c r="E605" s="2">
        <f>(E$449*D605)</f>
        <v>11.700000000000001</v>
      </c>
      <c r="I605" t="str">
        <v>הכנס ללא גושים  ב F18 עליה ל F21 ובסיום דספרסיה במשך 5 דקות . שים לב שלא יתחמם מידי</v>
      </c>
      <c r="K605" s="3" t="str">
        <v>EXOLIT AP435</v>
      </c>
      <c r="L605" s="1">
        <v>0.2409</v>
      </c>
      <c r="M605" s="2">
        <f>(M$609*L605)</f>
        <v>313.17</v>
      </c>
    </row>
    <row r="606" ht="27.600000000000005" customHeight="1">
      <c r="A606" t="str">
        <v>הכנס ללא גושים  ב F18 עליה ל F21 ובסיום דספרסיה במשך 5 דקות . שים לב שלא יתחמם מידי</v>
      </c>
      <c r="C606" s="3" t="str">
        <v>EXOLIT AP435</v>
      </c>
      <c r="D606" s="1">
        <v>0.2409</v>
      </c>
      <c r="E606" s="2">
        <f>(E$449*D606)</f>
        <v>240.9</v>
      </c>
      <c r="I606" t="str">
        <v>להכניס לאט ובהדרגה  לפוזור מלא ב12 F</v>
      </c>
      <c r="K606" s="3" t="str">
        <v>Lapinus CF 10</v>
      </c>
      <c r="L606" s="1">
        <v>0.03</v>
      </c>
      <c r="M606" s="2">
        <f>(M$609*L606)</f>
        <v>39</v>
      </c>
    </row>
    <row r="607">
      <c r="A607" t="str">
        <v>להכניס לאט ובהדרגה  לפוזור מלא ב12 F</v>
      </c>
      <c r="C607" s="3" t="str">
        <v>Lapinus CF 10</v>
      </c>
      <c r="D607" s="1">
        <v>0.03</v>
      </c>
      <c r="E607" s="2">
        <f>(E$449*D607)</f>
        <v>30</v>
      </c>
      <c r="I607" t="str">
        <v>הכנס בזרם דק עד להומוגניות  בF 12  לאחר מכן הכנס אגיטן ובסיום המשך 7 דקות ערבול</v>
      </c>
      <c r="K607" s="3" t="str">
        <v>ENCOR 2394</v>
      </c>
      <c r="L607" s="1">
        <v>0.212</v>
      </c>
      <c r="M607" s="2">
        <f>(M$609*L607)</f>
        <v>275.59999999999997</v>
      </c>
    </row>
    <row r="608">
      <c r="A608" t="str">
        <v>הכנס בזרם דק עד להומוגניות  בF 12  לאחר מכן הכנס אגיטן ובסיום המשך 7 דקות ערבול</v>
      </c>
      <c r="C608" s="3" t="str">
        <v>VINNAPAS EZ 3112</v>
      </c>
      <c r="D608" s="1">
        <v>0.212</v>
      </c>
      <c r="E608" s="2">
        <f>(E$449*D608)</f>
        <v>212</v>
      </c>
      <c r="K608" s="3" t="str">
        <v>AGITAN 80</v>
      </c>
      <c r="L608" s="1">
        <v>0.0005</v>
      </c>
      <c r="M608" s="2">
        <f>(M$609*L608)</f>
        <v>0.65</v>
      </c>
    </row>
    <row r="609">
      <c r="C609" s="3" t="str">
        <v>AGITAN 80</v>
      </c>
      <c r="D609" s="1">
        <v>0.0005</v>
      </c>
      <c r="E609" s="2">
        <f>(E$449*D609)</f>
        <v>0.5</v>
      </c>
      <c r="L609" s="4">
        <f>SUM(L594:L608)</f>
        <v>1</v>
      </c>
      <c r="M609" s="2">
        <v>1300</v>
      </c>
    </row>
    <row r="610">
      <c r="D610" s="4">
        <f>SUM(D595:D609)</f>
        <v>1</v>
      </c>
      <c r="E610" s="2">
        <v>1000</v>
      </c>
      <c r="M610" s="2">
        <f>SUM(M594:M608)</f>
        <v>1300.0000000000002</v>
      </c>
    </row>
    <row r="611">
      <c r="E611" s="2">
        <f>SUM(E595:E609)</f>
        <v>1000</v>
      </c>
    </row>
    <row r="617">
      <c r="A617" t="str">
        <v xml:space="preserve">         21.8.2023-036    Fresco INTUMESCENT</v>
      </c>
      <c r="I617" t="str">
        <v xml:space="preserve">         21.8.2023-037    Fresco INTUMESCENT</v>
      </c>
    </row>
    <row r="618">
      <c r="A618" t="str">
        <v>על פי 025 - (FR CROS 487 +ENCOR 2394)  הוספת CF10, הקטנת מלמין , PM40</v>
      </c>
      <c r="I618" t="str">
        <v>על פי 025 - (FR CROS 487 +EZ3112)  הוספת CF10, הקטנת מלמין , PM40</v>
      </c>
    </row>
    <row r="619">
      <c r="A619" t="str">
        <v>הוראות יצור</v>
      </c>
      <c r="B619" t="str">
        <v>שעה - הערות</v>
      </c>
      <c r="D619" t="str">
        <v>חומר</v>
      </c>
      <c r="E619" t="str">
        <v>כמות ק''ג</v>
      </c>
      <c r="I619" t="str">
        <v>הוראות יצור</v>
      </c>
      <c r="J619" t="str">
        <v>שעה - הערות</v>
      </c>
      <c r="L619" t="str">
        <v>חומר</v>
      </c>
      <c r="M619" t="str">
        <v>כמות ק''ג</v>
      </c>
    </row>
    <row r="620">
      <c r="A620" t="str">
        <v>הכנס חומרים לאט ופזר היטב. הפעל 5 דקות דספרסיה בין הכנסת כל חומר. וודא שאין קצף לפני המעבר לשלב הבא. עבוד במהירות בF10</v>
      </c>
      <c r="C620" t="str">
        <v>water</v>
      </c>
      <c r="D620" s="1">
        <v>0.1751</v>
      </c>
      <c r="E620" s="2">
        <f>(E$634*D620)</f>
        <v>175.1</v>
      </c>
      <c r="I620" t="str">
        <v>הכנס חומרים לאט ופזר היטב. הפעל 5 דקות דספרסיה בין הכנסת כל חומר. וודא שאין קצף לפני המעבר לשלב הבא. עבוד במהירות בF10</v>
      </c>
      <c r="K620" t="str">
        <v>water</v>
      </c>
      <c r="L620" s="1">
        <v>0.1755</v>
      </c>
      <c r="M620" s="2">
        <f>(M$634*L620)</f>
        <v>175.5</v>
      </c>
    </row>
    <row r="621">
      <c r="C621" t="str">
        <v>OROTAN 731</v>
      </c>
      <c r="D621" s="4">
        <v>0.0016</v>
      </c>
      <c r="E621" s="2">
        <f>(E$634*D621)</f>
        <v>1.6</v>
      </c>
      <c r="K621" t="str">
        <v>OROTAN 731</v>
      </c>
      <c r="L621" s="4">
        <v>0.0016</v>
      </c>
      <c r="M621" s="2">
        <f>(M$634*L621)</f>
        <v>1.6</v>
      </c>
    </row>
    <row r="622">
      <c r="C622" t="str">
        <v>AGITAN 80</v>
      </c>
      <c r="D622" s="4">
        <v>0.001</v>
      </c>
      <c r="E622" s="2">
        <f>(E$634*D622)</f>
        <v>1</v>
      </c>
      <c r="K622" t="str">
        <v>AGITAN 80</v>
      </c>
      <c r="L622" s="4">
        <v>0.001</v>
      </c>
      <c r="M622" s="2">
        <f>(M$634*L622)</f>
        <v>1</v>
      </c>
    </row>
    <row r="623">
      <c r="C623" t="str">
        <v>Biocide CMIF</v>
      </c>
      <c r="D623" s="1">
        <v>0.002</v>
      </c>
      <c r="E623" s="2">
        <f>(E$634*D623)</f>
        <v>2</v>
      </c>
      <c r="K623" t="str">
        <v>Biocide CMIF</v>
      </c>
      <c r="L623" s="1">
        <v>0.002</v>
      </c>
      <c r="M623" s="2">
        <f>(M$634*L623)</f>
        <v>2</v>
      </c>
    </row>
    <row r="624">
      <c r="C624" t="str">
        <v>COMBIZELL</v>
      </c>
      <c r="D624" s="1">
        <v>0.0016</v>
      </c>
      <c r="E624" s="2">
        <f>(E$634*D624)</f>
        <v>1.6</v>
      </c>
      <c r="K624" t="str">
        <v>COMBIZELL</v>
      </c>
      <c r="L624" s="1">
        <v>0.0012</v>
      </c>
      <c r="M624" s="2">
        <f>(M$634*L624)</f>
        <v>1.2</v>
      </c>
    </row>
    <row r="625">
      <c r="C625" t="str">
        <v>AGITAN 80</v>
      </c>
      <c r="D625" s="1">
        <v>0.001</v>
      </c>
      <c r="E625" s="2">
        <f>(E$634*D625)</f>
        <v>1</v>
      </c>
      <c r="K625" t="str">
        <v>AGITAN 80</v>
      </c>
      <c r="L625" s="1">
        <v>0.001</v>
      </c>
      <c r="M625" s="2">
        <f>(M$634*L625)</f>
        <v>1</v>
      </c>
    </row>
    <row r="626">
      <c r="A626" t="str">
        <v>הכנס ללא גושים ובסיום דספרסיה 5 דקות  בF 13</v>
      </c>
      <c r="C626" t="str">
        <v>TIONA 826</v>
      </c>
      <c r="D626" s="1">
        <v>0.12</v>
      </c>
      <c r="E626" s="2">
        <f>(E$634*D626)</f>
        <v>120</v>
      </c>
      <c r="I626" t="str">
        <v>הכנס ללא גושים ובסיום דספרסיה 5 דקות  בF 13</v>
      </c>
      <c r="K626" t="str">
        <v>TIONA 826</v>
      </c>
      <c r="L626" s="1">
        <v>0.12</v>
      </c>
      <c r="M626" s="2">
        <f>(M$634*L626)</f>
        <v>120</v>
      </c>
    </row>
    <row r="627">
      <c r="A627" t="str">
        <v>הכנס ללא גושים ובסיום דספרסיה 5 דקות  בF 15</v>
      </c>
      <c r="C627" t="str">
        <v xml:space="preserve"> CHARMOR PM 40</v>
      </c>
      <c r="D627" s="1">
        <v>0.09</v>
      </c>
      <c r="E627" s="2">
        <f>(E$634*D627)</f>
        <v>90</v>
      </c>
      <c r="I627" t="str">
        <v>הכנס ללא גושים ובסיום דספרסיה 5 דקות  בF 15</v>
      </c>
      <c r="K627" t="str">
        <v xml:space="preserve"> CHARMOR PM 40</v>
      </c>
      <c r="L627" s="1">
        <v>0.09</v>
      </c>
      <c r="M627" s="2">
        <f>(M$634*L627)</f>
        <v>90</v>
      </c>
    </row>
    <row r="628">
      <c r="A628" t="str">
        <v>הכנס ללא גושים ובסיום דספרסיה 5 דקות  בF 18</v>
      </c>
      <c r="C628" t="str">
        <v>MELAFINE</v>
      </c>
      <c r="D628" s="1">
        <v>0.09</v>
      </c>
      <c r="E628" s="2">
        <f>(E$634*D628)</f>
        <v>90</v>
      </c>
      <c r="I628" t="str">
        <v>הכנס ללא גושים ובסיום דספרסיה 5 דקות  בF 18</v>
      </c>
      <c r="K628" t="str">
        <v>MELAFINE</v>
      </c>
      <c r="L628" s="1">
        <v>0.09</v>
      </c>
      <c r="M628" s="2">
        <f>(M$634*L628)</f>
        <v>90</v>
      </c>
    </row>
    <row r="629">
      <c r="A629" t="str">
        <v>הכנס בזרם דק עד להומוגניות  בF 15</v>
      </c>
      <c r="C629" s="3" t="str">
        <v>Texanol</v>
      </c>
      <c r="D629" s="1">
        <v>0.0117</v>
      </c>
      <c r="E629" s="2">
        <f>(E$634*D629)</f>
        <v>11.700000000000001</v>
      </c>
      <c r="I629" t="str">
        <v>הכנס בזרם דק עד להומוגניות  בF 15</v>
      </c>
      <c r="K629" s="3" t="str">
        <v>Texanol</v>
      </c>
      <c r="L629" s="1">
        <v>0.0117</v>
      </c>
      <c r="M629" s="2">
        <f>(M$634*L629)</f>
        <v>11.700000000000001</v>
      </c>
    </row>
    <row r="630" ht="27.600000000000005" customHeight="1">
      <c r="A630" t="str">
        <v>הכנס ללא גושים  ב F18 עליה ל F21 ובסיום דספרסיה במשך 5 דקות . שים לב שלא יתחמם מידי</v>
      </c>
      <c r="C630" s="3" t="str">
        <v>FR CROS 487</v>
      </c>
      <c r="D630" s="1">
        <v>0.25</v>
      </c>
      <c r="E630" s="2">
        <f>(E$634*D630)</f>
        <v>250</v>
      </c>
      <c r="I630" t="str">
        <v>הכנס ללא גושים  ב F18 עליה ל F21 ובסיום דספרסיה במשך 5 דקות . שים לב שלא יתחמם מידי</v>
      </c>
      <c r="K630" s="3" t="str">
        <v>FR CROS 487</v>
      </c>
      <c r="L630" s="1">
        <v>0.25</v>
      </c>
      <c r="M630" s="2">
        <f>(M$634*L630)</f>
        <v>250</v>
      </c>
    </row>
    <row r="631">
      <c r="A631" t="str">
        <v>להכניס לאט ובהדרגה  לפוזור מלא ב12 F</v>
      </c>
      <c r="C631" s="3" t="str">
        <v>Lapinus CF 10</v>
      </c>
      <c r="D631" s="1">
        <v>0.03</v>
      </c>
      <c r="E631" s="2">
        <f>(E$634*D631)</f>
        <v>30</v>
      </c>
      <c r="I631" t="str">
        <v>להכניס לאט ובהדרגה  לפוזור מלא ב12 F</v>
      </c>
      <c r="K631" s="3" t="str">
        <v>Lapinus CF 10</v>
      </c>
      <c r="L631" s="1">
        <v>0.03</v>
      </c>
      <c r="M631" s="2">
        <f>(M$634*L631)</f>
        <v>30</v>
      </c>
    </row>
    <row r="632">
      <c r="A632" t="str">
        <v>הכנס בזרם דק עד להומוגניות  בF 12</v>
      </c>
      <c r="C632" s="3" t="str">
        <v>ENCOR 2394</v>
      </c>
      <c r="D632" s="1">
        <v>0.225</v>
      </c>
      <c r="E632" s="2">
        <f>(E$634*D632)</f>
        <v>225</v>
      </c>
      <c r="I632" t="str">
        <v>הכנס בזרם דק עד להומוגניות  בF 12</v>
      </c>
      <c r="K632" s="3" t="str">
        <v>VINNAPAS EZ 3112</v>
      </c>
      <c r="L632" s="1">
        <v>0.225</v>
      </c>
      <c r="M632" s="2">
        <f>(M$634*L632)</f>
        <v>225</v>
      </c>
    </row>
    <row r="633">
      <c r="A633" t="str">
        <v>יש להכניס תוך ערבוב ולהמשיך ערבוב איטי כ5 דקות</v>
      </c>
      <c r="C633" s="3" t="str">
        <v>AGITAN 80</v>
      </c>
      <c r="D633" s="1">
        <v>0.001</v>
      </c>
      <c r="E633" s="2">
        <f>(E$634*D633)</f>
        <v>1</v>
      </c>
      <c r="I633" t="str">
        <v>יש להכניס תוך ערבוב ולהמשיך ערבוב איטי כ5 דקות</v>
      </c>
      <c r="K633" s="3" t="str">
        <v>AGITAN 80</v>
      </c>
      <c r="L633" s="1">
        <v>0.001</v>
      </c>
      <c r="M633" s="2">
        <f>(M$634*L633)</f>
        <v>1</v>
      </c>
    </row>
    <row r="634">
      <c r="D634" s="4">
        <f>SUM(D620:D633)</f>
        <v>1</v>
      </c>
      <c r="E634" s="2">
        <v>1000</v>
      </c>
      <c r="L634" s="4">
        <f>SUM(L620:L633)</f>
        <v>1</v>
      </c>
      <c r="M634" s="2">
        <v>1000</v>
      </c>
    </row>
    <row r="635">
      <c r="E635" s="2">
        <f>SUM(E620:E633)</f>
        <v>1000</v>
      </c>
      <c r="M635" s="2">
        <f>SUM(M620:M633)</f>
        <v>1000</v>
      </c>
    </row>
    <row r="642">
      <c r="A642" t="str">
        <v xml:space="preserve">         27.8.2023-038    Fresco INTUMESCENT</v>
      </c>
      <c r="I642" t="str">
        <v xml:space="preserve">         27.8.2023-039    Fresco INTUMESCENT</v>
      </c>
    </row>
    <row r="643">
      <c r="A643" t="str">
        <v>על פי 025 - (FR CROS 487 +ENCOR 2394)  הוספת CF10, הקטנת מלמין , PM40</v>
      </c>
      <c r="I643" t="str">
        <v>על פי 037 - (FR CROS 487 +VINNAPAS EZ 3112)  ,הגדלת אמולסיה הקטנת מלמין , PM40</v>
      </c>
    </row>
    <row r="644">
      <c r="A644" t="str">
        <v>הוראות יצור</v>
      </c>
      <c r="B644" t="str">
        <v>שעה - הערות</v>
      </c>
      <c r="D644" t="str">
        <v>חומר</v>
      </c>
      <c r="E644" t="str">
        <v>כמות ק''ג</v>
      </c>
      <c r="I644" t="str">
        <v>הוראות יצור</v>
      </c>
      <c r="J644" t="str">
        <v>שעה - הערות</v>
      </c>
      <c r="L644" t="str">
        <v>חומר</v>
      </c>
      <c r="M644" t="str">
        <v>כמות ק''ג</v>
      </c>
    </row>
    <row r="645">
      <c r="A645" t="str">
        <v>הכנס חומרים לאט ופזר היטב. הפעל 5 דקות דספרסיה בין הכנסת כל חומר. וודא שאין קצף לפני המעבר לשלב הבא. עבוד במהירות בF10</v>
      </c>
      <c r="C645" t="str">
        <v>water</v>
      </c>
      <c r="D645" s="1">
        <v>0.1616</v>
      </c>
      <c r="E645" s="2">
        <f>(E$634*D645)</f>
        <v>161.6</v>
      </c>
      <c r="I645" t="str">
        <v>הכנס חומרים לאט ופזר היטב. הפעל 5 דקות דספרסיה בין הכנסת כל חומר. וודא שאין קצף לפני המעבר לשלב הבא. עבוד במהירות בF10</v>
      </c>
      <c r="K645" t="str">
        <v>water</v>
      </c>
      <c r="L645" s="1">
        <v>0.1616</v>
      </c>
      <c r="M645" s="2">
        <f>(M659*L645)</f>
        <v>177.76</v>
      </c>
    </row>
    <row r="646">
      <c r="C646" t="str">
        <v>OROTAN 731</v>
      </c>
      <c r="D646" s="4">
        <v>0.002</v>
      </c>
      <c r="E646" s="2">
        <f>(E$634*D646)</f>
        <v>2</v>
      </c>
      <c r="K646" t="str">
        <v>OROTAN 731</v>
      </c>
      <c r="L646" s="4">
        <v>0.002</v>
      </c>
      <c r="M646" s="2">
        <f>(M$659*L646)</f>
        <v>2.2</v>
      </c>
    </row>
    <row r="647">
      <c r="C647" t="str">
        <v>AGITAN 80</v>
      </c>
      <c r="D647" s="4">
        <v>0.001</v>
      </c>
      <c r="E647" s="2">
        <f>(E$634*D647)</f>
        <v>1</v>
      </c>
      <c r="K647" t="str">
        <v>AGITAN 80</v>
      </c>
      <c r="L647" s="4">
        <v>0.001</v>
      </c>
      <c r="M647" s="2">
        <f>(M$659*L647)</f>
        <v>1.1</v>
      </c>
    </row>
    <row r="648">
      <c r="C648" t="str">
        <v>Biocide CMIF</v>
      </c>
      <c r="D648" s="1">
        <v>0.002</v>
      </c>
      <c r="E648" s="2">
        <f>(E$634*D648)</f>
        <v>2</v>
      </c>
      <c r="K648" t="str">
        <v>Biocide CMIF</v>
      </c>
      <c r="L648" s="1">
        <v>0.002</v>
      </c>
      <c r="M648" s="2">
        <f>(M$659*L648)</f>
        <v>2.2</v>
      </c>
    </row>
    <row r="649">
      <c r="C649" t="str">
        <v>COMBIZELL</v>
      </c>
      <c r="D649" s="1">
        <v>0.0014</v>
      </c>
      <c r="E649" s="2">
        <f>(E$634*D649)</f>
        <v>1.4</v>
      </c>
      <c r="K649" t="str">
        <v>COMBIZELL</v>
      </c>
      <c r="L649" s="1">
        <v>0.0014</v>
      </c>
      <c r="M649" s="2">
        <f>(M$659*L649)</f>
        <v>1.54</v>
      </c>
    </row>
    <row r="650">
      <c r="C650" t="str">
        <v>AGITAN 80</v>
      </c>
      <c r="D650" s="1">
        <v>0.001</v>
      </c>
      <c r="E650" s="2">
        <f>(E$634*D650)</f>
        <v>1</v>
      </c>
      <c r="K650" t="str">
        <v>AGITAN 80</v>
      </c>
      <c r="L650" s="1">
        <v>0.001</v>
      </c>
      <c r="M650" s="2">
        <f>(M$659*L650)</f>
        <v>1.1</v>
      </c>
    </row>
    <row r="651">
      <c r="A651" t="str">
        <v>הכנס ללא גושים ובסיום דספרסיה 5 דקות  בF 13</v>
      </c>
      <c r="C651" t="str">
        <v>TIONA 826</v>
      </c>
      <c r="D651" s="1">
        <v>0.12</v>
      </c>
      <c r="E651" s="2">
        <f>(E$634*D651)</f>
        <v>120</v>
      </c>
      <c r="I651" t="str">
        <v>הכנס ללא גושים ובסיום דספרסיה 5 דקות  בF 13</v>
      </c>
      <c r="K651" t="str">
        <v>TIONA 826</v>
      </c>
      <c r="L651" s="1">
        <v>0.12</v>
      </c>
      <c r="M651" s="2">
        <f>(M$659*L651)</f>
        <v>132</v>
      </c>
    </row>
    <row r="652">
      <c r="A652" t="str">
        <v>הכנס ללא גושים ובסיום דספרסיה 5 דקות  בF 15</v>
      </c>
      <c r="C652" t="str">
        <v xml:space="preserve"> CHARMOR PM 40</v>
      </c>
      <c r="D652" s="1">
        <v>0.085</v>
      </c>
      <c r="E652" s="2">
        <f>(E$634*D652)</f>
        <v>85</v>
      </c>
      <c r="I652" t="str">
        <v>הכנס ללא גושים ובסיום דספרסיה 5 דקות  בF 15</v>
      </c>
      <c r="K652" t="str">
        <v xml:space="preserve"> CHARMOR PM 40</v>
      </c>
      <c r="L652" s="1">
        <v>0.085</v>
      </c>
      <c r="M652" s="2">
        <f>(M$659*L652)</f>
        <v>93.5</v>
      </c>
    </row>
    <row r="653">
      <c r="A653" t="str">
        <v>הכנס ללא גושים ובסיום דספרסיה 5 דקות  בF 18</v>
      </c>
      <c r="C653" t="str">
        <v>MELAFINE</v>
      </c>
      <c r="D653" s="1">
        <v>0.085</v>
      </c>
      <c r="E653" s="2">
        <f>(E$634*D653)</f>
        <v>85</v>
      </c>
      <c r="I653" t="str">
        <v>הכנס ללא גושים ובסיום דספרסיה 5 דקות  בF 18</v>
      </c>
      <c r="K653" t="str">
        <v>MELAFINE</v>
      </c>
      <c r="L653" s="1">
        <v>0.085</v>
      </c>
      <c r="M653" s="2">
        <f>(M$659*L653)</f>
        <v>93.5</v>
      </c>
    </row>
    <row r="654">
      <c r="A654" t="str">
        <v>הכנס בזרם דק עד להומוגניות  בF 15</v>
      </c>
      <c r="C654" s="3" t="str">
        <v>Texanol</v>
      </c>
      <c r="D654" s="1">
        <v>0.01</v>
      </c>
      <c r="E654" s="2">
        <f>(E$634*D654)</f>
        <v>10</v>
      </c>
      <c r="I654" t="str">
        <v>הכנס בזרם דק עד להומוגניות  בF 15</v>
      </c>
      <c r="K654" s="3" t="str">
        <v>Texanol</v>
      </c>
      <c r="L654" s="1">
        <v>0.007</v>
      </c>
      <c r="M654" s="2">
        <f>(M$659*L654)</f>
        <v>7.7</v>
      </c>
    </row>
    <row r="655" ht="27.600000000000005" customHeight="1">
      <c r="A655" t="str">
        <v>הכנס ללא גושים  ב F18 עליה ל F21 ובסיום דספרסיה במשך 5 דקות . שים לב שלא יתחמם מידי</v>
      </c>
      <c r="C655" s="3" t="str">
        <v>FR CROS 487</v>
      </c>
      <c r="D655" s="1">
        <v>0.25</v>
      </c>
      <c r="E655" s="2">
        <f>(E$634*D655)</f>
        <v>250</v>
      </c>
      <c r="I655" t="str">
        <v>הכנס ללא גושים  ב F18 עליה ל F21 ובסיום דספרסיה במשך 5 דקות . שים לב שלא יתחמם מידי</v>
      </c>
      <c r="K655" s="3" t="str">
        <v>FR CROS 487</v>
      </c>
      <c r="L655" s="1">
        <v>0.25</v>
      </c>
      <c r="M655" s="2">
        <f>(M$659*L655)</f>
        <v>275</v>
      </c>
    </row>
    <row r="656">
      <c r="A656" t="str">
        <v>להכניס לאט ובהדרגה  לפוזור מלא ב12 F</v>
      </c>
      <c r="C656" s="3" t="str">
        <v>Lapinus CF 10</v>
      </c>
      <c r="D656" s="1">
        <v>0.03</v>
      </c>
      <c r="E656" s="2">
        <f>(E$634*D656)</f>
        <v>30</v>
      </c>
      <c r="I656" t="str">
        <v>להכניס לאט ובהדרגה  לפוזור מלא ב12 F</v>
      </c>
      <c r="K656" s="3" t="str">
        <v>Lapinus CF 10</v>
      </c>
      <c r="L656" s="1">
        <v>0.03</v>
      </c>
      <c r="M656" s="2">
        <f>(M$659*L656)</f>
        <v>33</v>
      </c>
    </row>
    <row r="657">
      <c r="A657" t="str">
        <v>הכנס בזרם דק עד להומוגניות  בF 12</v>
      </c>
      <c r="C657" s="3" t="str">
        <v>ENCOR 2394</v>
      </c>
      <c r="D657" s="1">
        <v>0.25</v>
      </c>
      <c r="E657" s="2">
        <f>(E$634*D657)</f>
        <v>250</v>
      </c>
      <c r="I657" t="str">
        <v>הכנס בזרם דק עד להומוגניות  בF 12</v>
      </c>
      <c r="K657" s="3" t="str">
        <v>VINNAPAS EZ 3112</v>
      </c>
      <c r="L657" s="1">
        <v>0.253</v>
      </c>
      <c r="M657" s="2">
        <f>(M$659*L657)</f>
        <v>278.3</v>
      </c>
    </row>
    <row r="658">
      <c r="A658" t="str">
        <v>יש להכניס תוך ערבוב ולהמשיך ערבוב איטי כ5 דקות</v>
      </c>
      <c r="C658" s="3" t="str">
        <v>AGITAN 80</v>
      </c>
      <c r="D658" s="1">
        <v>0.001</v>
      </c>
      <c r="E658" s="2">
        <f>(E$634*D658)</f>
        <v>1</v>
      </c>
      <c r="I658" t="str">
        <v>יש להכניס תוך ערבוב ולהמשיך ערבוב איטי כ5 דקות</v>
      </c>
      <c r="K658" s="3" t="str">
        <v>AGITAN 80</v>
      </c>
      <c r="L658" s="1">
        <v>0.001</v>
      </c>
      <c r="M658" s="2">
        <f>(M$659*L658)</f>
        <v>1.1</v>
      </c>
    </row>
    <row r="659">
      <c r="D659" s="4">
        <f>SUM(D645:D658)</f>
        <v>1</v>
      </c>
      <c r="E659" s="2">
        <v>1000</v>
      </c>
      <c r="L659" s="4">
        <f>SUM(L645:L658)</f>
        <v>1</v>
      </c>
      <c r="M659" s="2">
        <v>1100</v>
      </c>
    </row>
    <row r="660">
      <c r="E660" s="2">
        <f>SUM(E645:E658)</f>
        <v>1000</v>
      </c>
      <c r="M660" s="2">
        <f>SUM(M645:M658)</f>
        <v>1100</v>
      </c>
    </row>
    <row r="665">
      <c r="A665" t="str">
        <v xml:space="preserve">         27.8.2023-040    Fresco INTUMESCENT</v>
      </c>
      <c r="I665" t="str">
        <v xml:space="preserve">         27.8.2023-041    Fresco INTUMESCENT</v>
      </c>
    </row>
    <row r="666">
      <c r="A666" t="str">
        <v>על פי 037 - (EXOLIT AP435+ EZ3112)  ,הגדלת אמולסיה הקטנת מלמין , PM40</v>
      </c>
      <c r="I666" t="str">
        <v>על פי 039 - (FR CROS 487 +VINNAPAS EZ 3112)  ,הגדלת אמולסיהKronos 2160  הקטנת מלמין , PM40  ,</v>
      </c>
    </row>
    <row r="667">
      <c r="A667" t="str">
        <v>הוראות יצור</v>
      </c>
      <c r="B667" t="str">
        <v>שעה - הערות</v>
      </c>
      <c r="D667" t="str">
        <v>חומר</v>
      </c>
      <c r="E667" t="str">
        <v>כמות ק''ג</v>
      </c>
      <c r="I667" t="str">
        <v>הוראות יצור</v>
      </c>
      <c r="J667" t="str">
        <v>שעה - הערות</v>
      </c>
      <c r="L667" t="str">
        <v>חומר</v>
      </c>
      <c r="M667" t="str">
        <v>כמות ק''ג</v>
      </c>
    </row>
    <row r="668">
      <c r="A668" t="str">
        <v>הכנס חומרים לאט ופזר היטב. הפעל 5 דקות דספרסיה בין הכנסת כל חומר. וודא שאין קצף לפני המעבר לשלב הבא. עבוד במהירות בF10</v>
      </c>
      <c r="C668" t="str">
        <v>water</v>
      </c>
      <c r="D668" s="1">
        <v>0.1616</v>
      </c>
      <c r="E668" s="2">
        <f>(E682*D668)</f>
        <v>177.76</v>
      </c>
      <c r="I668" t="str">
        <v>הכנס חומרים לאט ופזר היטב. הפעל 5 דקות דספרסיה בין הכנסת כל חומר. וודא שאין קצף לפני המעבר לשלב הבא. עבוד במהירות בF10</v>
      </c>
      <c r="K668" t="str">
        <v>water</v>
      </c>
      <c r="L668" s="1">
        <v>0.1616</v>
      </c>
      <c r="M668" s="2">
        <f>(M682*L668)</f>
        <v>177.76</v>
      </c>
    </row>
    <row r="669">
      <c r="C669" t="str">
        <v>OROTAN 731</v>
      </c>
      <c r="D669" s="4">
        <v>0.002</v>
      </c>
      <c r="E669" s="2">
        <f>(E682*D669)</f>
        <v>2.2</v>
      </c>
      <c r="K669" t="str">
        <v>OROTAN 731</v>
      </c>
      <c r="L669" s="4">
        <v>0.002</v>
      </c>
      <c r="M669" s="2">
        <f>(M$659*L669)</f>
        <v>2.2</v>
      </c>
    </row>
    <row r="670">
      <c r="C670" t="str">
        <v>AGITAN 80</v>
      </c>
      <c r="D670" s="4">
        <v>0.001</v>
      </c>
      <c r="E670" s="2">
        <f>(E682*D670)</f>
        <v>1.1</v>
      </c>
      <c r="K670" t="str">
        <v>AGITAN 80</v>
      </c>
      <c r="L670" s="4">
        <v>0.001</v>
      </c>
      <c r="M670" s="2">
        <f>(M$659*L670)</f>
        <v>1.1</v>
      </c>
    </row>
    <row r="671">
      <c r="C671" t="str">
        <v>Biocide CMIF</v>
      </c>
      <c r="D671" s="1">
        <v>0.002</v>
      </c>
      <c r="E671" s="2">
        <f>(E682*D671)</f>
        <v>2.2</v>
      </c>
      <c r="K671" t="str">
        <v>Biocide CMIF</v>
      </c>
      <c r="L671" s="1">
        <v>0.002</v>
      </c>
      <c r="M671" s="2">
        <f>(M$659*L671)</f>
        <v>2.2</v>
      </c>
    </row>
    <row r="672">
      <c r="C672" t="str">
        <v>COMBIZELL</v>
      </c>
      <c r="D672" s="1">
        <v>0.0014</v>
      </c>
      <c r="E672" s="2">
        <f>(E$682*D672)</f>
        <v>1.54</v>
      </c>
      <c r="K672" t="str">
        <v>COMBIZELL</v>
      </c>
      <c r="L672" s="1">
        <v>0.0014</v>
      </c>
      <c r="M672" s="2">
        <f>(M$659*L672)</f>
        <v>1.54</v>
      </c>
    </row>
    <row r="673">
      <c r="C673" t="str">
        <v>AGITAN 80</v>
      </c>
      <c r="D673" s="1">
        <v>0.001</v>
      </c>
      <c r="E673" s="2">
        <f>(E682*D673)</f>
        <v>1.1</v>
      </c>
      <c r="K673" t="str">
        <v>AGITAN 80</v>
      </c>
      <c r="L673" s="1">
        <v>0.001</v>
      </c>
      <c r="M673" s="2">
        <f>(M$659*L673)</f>
        <v>1.1</v>
      </c>
    </row>
    <row r="674">
      <c r="A674" t="str">
        <v>הכנס ללא גושים ובסיום דספרסיה 5 דקות  בF 13</v>
      </c>
      <c r="C674" t="str">
        <v>TIONA 826</v>
      </c>
      <c r="D674" s="1">
        <v>0.12</v>
      </c>
      <c r="E674" s="2">
        <f>(E682*D674)</f>
        <v>132</v>
      </c>
      <c r="I674" t="str">
        <v>הכנס ללא גושים ובסיום דספרסיה 5 דקות  בF 13</v>
      </c>
      <c r="K674" t="str">
        <v>KRONOS 2160</v>
      </c>
      <c r="L674" s="1">
        <v>0.12</v>
      </c>
      <c r="M674" s="2">
        <f>(M$659*L674)</f>
        <v>132</v>
      </c>
    </row>
    <row r="675">
      <c r="A675" t="str">
        <v>הכנס ללא גושים ובסיום דספרסיה 5 דקות  בF 15</v>
      </c>
      <c r="C675" t="str">
        <v xml:space="preserve"> CHARMOR PM 40</v>
      </c>
      <c r="D675" s="1">
        <v>0.085</v>
      </c>
      <c r="E675" s="2">
        <f>(E682*D675)</f>
        <v>93.5</v>
      </c>
      <c r="I675" t="str">
        <v>הכנס ללא גושים ובסיום דספרסיה 5 דקות  בF 15</v>
      </c>
      <c r="K675" t="str">
        <v xml:space="preserve"> CHARMOR PM 40</v>
      </c>
      <c r="L675" s="1">
        <v>0.085</v>
      </c>
      <c r="M675" s="2">
        <f>(M$659*L675)</f>
        <v>93.5</v>
      </c>
    </row>
    <row r="676">
      <c r="A676" t="str">
        <v>הכנס ללא גושים ובסיום דספרסיה 5 דקות  בF 18</v>
      </c>
      <c r="C676" t="str">
        <v>MELAFINE</v>
      </c>
      <c r="D676" s="1">
        <v>0.085</v>
      </c>
      <c r="E676" s="2">
        <f>(E682*D676)</f>
        <v>93.5</v>
      </c>
      <c r="I676" t="str">
        <v>הכנס ללא גושים ובסיום דספרסיה 5 דקות  בF 18</v>
      </c>
      <c r="K676" t="str">
        <v>MELAFINE</v>
      </c>
      <c r="L676" s="1">
        <v>0.085</v>
      </c>
      <c r="M676" s="2">
        <f>(M$659*L676)</f>
        <v>93.5</v>
      </c>
    </row>
    <row r="677">
      <c r="A677" t="str">
        <v>הכנס בזרם דק עד להומוגניות  בF 15</v>
      </c>
      <c r="C677" s="3" t="str">
        <v>Texanol</v>
      </c>
      <c r="D677" s="1">
        <v>0.007</v>
      </c>
      <c r="E677" s="2">
        <f>(E682*D677)</f>
        <v>7.7</v>
      </c>
      <c r="I677" t="str">
        <v>הכנס בזרם דק עד להומוגניות  בF 15</v>
      </c>
      <c r="K677" s="3" t="str">
        <v>Texanol</v>
      </c>
      <c r="L677" s="1">
        <v>0.007</v>
      </c>
      <c r="M677" s="2">
        <f>(M$659*L677)</f>
        <v>7.7</v>
      </c>
    </row>
    <row r="678" ht="27.600000000000005" customHeight="1">
      <c r="A678" t="str">
        <v>הכנס ללא גושים  ב F18 עליה ל F21 ובסיום דספרסיה במשך 5 דקות . שים לב שלא יתחמם מידי</v>
      </c>
      <c r="C678" s="3" t="str">
        <v>EXOLIT AP 435</v>
      </c>
      <c r="D678" s="1">
        <v>0.25</v>
      </c>
      <c r="E678" s="2">
        <f>(E682*D678)</f>
        <v>275</v>
      </c>
      <c r="I678" t="str">
        <v>הכנס ללא גושים  ב F18 עליה ל F21 ובסיום דספרסיה במשך 5 דקות . שים לב שלא יתחמם מידי</v>
      </c>
      <c r="K678" s="3" t="str">
        <v>FR CROS 487</v>
      </c>
      <c r="L678" s="1">
        <v>0.25</v>
      </c>
      <c r="M678" s="2">
        <f>(M$659*L678)</f>
        <v>275</v>
      </c>
    </row>
    <row r="679">
      <c r="A679" t="str">
        <v>להכניס לאט ובהדרגה  לפוזור מלא ב12 F</v>
      </c>
      <c r="C679" s="3" t="str">
        <v>Lapinus CF 10</v>
      </c>
      <c r="D679" s="1">
        <v>0.03</v>
      </c>
      <c r="E679" s="2">
        <f>(E682*D679)</f>
        <v>33</v>
      </c>
      <c r="I679" t="str">
        <v>להכניס לאט ובהדרגה  לפוזור מלא ב12 F</v>
      </c>
      <c r="K679" s="3" t="str">
        <v>Lapinus CF 10</v>
      </c>
      <c r="L679" s="1">
        <v>0.03</v>
      </c>
      <c r="M679" s="2">
        <f>(M$659*L679)</f>
        <v>33</v>
      </c>
    </row>
    <row r="680">
      <c r="A680" t="str">
        <v>הכנס בזרם דק עד להומוגניות  בF 12</v>
      </c>
      <c r="C680" s="3" t="str">
        <v>VINNAPAS EZ 3112</v>
      </c>
      <c r="D680" s="1">
        <v>0.253</v>
      </c>
      <c r="E680" s="2">
        <f>(E682*D680)</f>
        <v>278.3</v>
      </c>
      <c r="I680" t="str">
        <v>הכנס בזרם דק עד להומוגניות  בF 12</v>
      </c>
      <c r="K680" s="3" t="str">
        <v>VINNAPAS EZ 3112</v>
      </c>
      <c r="L680" s="1">
        <v>0.253</v>
      </c>
      <c r="M680" s="2">
        <f>(M$659*L680)</f>
        <v>278.3</v>
      </c>
    </row>
    <row r="681">
      <c r="A681" t="str">
        <v>יש להכניס תוך ערבוב ולהמשיך ערבוב איטי כ5 דקות</v>
      </c>
      <c r="C681" s="3" t="str">
        <v>AGITAN 80</v>
      </c>
      <c r="D681" s="1">
        <v>0.001</v>
      </c>
      <c r="E681" s="2">
        <f>(E682*D681)</f>
        <v>1.1</v>
      </c>
      <c r="I681" t="str">
        <v>יש להכניס תוך ערבוב ולהמשיך ערבוב איטי כ5 דקות</v>
      </c>
      <c r="K681" s="3" t="str">
        <v>AGITAN 80</v>
      </c>
      <c r="L681" s="1">
        <v>0.001</v>
      </c>
      <c r="M681" s="2">
        <f>(M$659*L681)</f>
        <v>1.1</v>
      </c>
    </row>
    <row r="682">
      <c r="D682" s="4">
        <f>SUM(D668:D681)</f>
        <v>1</v>
      </c>
      <c r="E682" s="2">
        <v>1100</v>
      </c>
      <c r="L682" s="4">
        <f>SUM(L668:L681)</f>
        <v>1</v>
      </c>
      <c r="M682" s="2">
        <v>1100</v>
      </c>
    </row>
    <row r="683">
      <c r="E683" s="2">
        <f>SUM(E668:E681)</f>
        <v>1100</v>
      </c>
      <c r="M683" s="2">
        <f>SUM(M668:M681)</f>
        <v>1100</v>
      </c>
    </row>
    <row r="690">
      <c r="A690" t="str">
        <v xml:space="preserve">         27.8.2023-042    Fresco INTUMESCENT</v>
      </c>
      <c r="I690" t="str">
        <v xml:space="preserve">         12.9.2023-043   Fresco INTUMESCENT</v>
      </c>
    </row>
    <row r="691">
      <c r="A691" t="str">
        <v>על פי 039 - (EXOLIT AP 435 +VINNAPAS EZ 3112)  ,הגדלת אמולסיהKronos 2160  הקטנת מלמין , PM40  ,</v>
      </c>
      <c r="I691" t="str">
        <v>על פי 036 - (EXOLIT AP 435 +ENCOR 2394)  הוספת CF10, הקטנת מלמין , PM40</v>
      </c>
    </row>
    <row r="692">
      <c r="A692" t="str">
        <v>הוראות יצור</v>
      </c>
      <c r="B692" t="str">
        <v>שעה - הערות</v>
      </c>
      <c r="D692" t="str">
        <v>חומר</v>
      </c>
      <c r="E692" t="str">
        <v>כמות ק''ג</v>
      </c>
      <c r="I692" t="str">
        <v>הוראות יצור</v>
      </c>
      <c r="J692" t="str">
        <v>שעה - הערות</v>
      </c>
      <c r="L692" t="str">
        <v>חומר</v>
      </c>
      <c r="M692" t="str">
        <v>כמות ק''ג</v>
      </c>
    </row>
    <row r="693">
      <c r="A693" t="str">
        <v>הכנס חומרים לאט ופזר היטב. הפעל 5 דקות דספרסיה בין הכנסת כל חומר. וודא שאין קצף לפני המעבר לשלב הבא. עבוד במהירות בF10</v>
      </c>
      <c r="C693" t="str">
        <v>water</v>
      </c>
      <c r="D693" s="1">
        <v>0.1616</v>
      </c>
      <c r="E693" s="2">
        <f>(E707*D693)</f>
        <v>177.76</v>
      </c>
      <c r="I693" t="str">
        <v>הכנס חומרים לאט ופזר היטב. הפעל 5 דקות דספרסיה בין הכנסת כל חומר. וודא שאין קצף לפני המעבר לשלב הבא. עבוד במהירות בF10</v>
      </c>
      <c r="K693" t="str">
        <v>water</v>
      </c>
      <c r="L693" s="1">
        <v>0.1751</v>
      </c>
      <c r="M693" s="2">
        <f>(M707*L693)</f>
        <v>175.1</v>
      </c>
    </row>
    <row r="694">
      <c r="C694" t="str">
        <v>OROTAN 731</v>
      </c>
      <c r="D694" s="4">
        <v>0.002</v>
      </c>
      <c r="E694" s="2">
        <f>(E707*D694)</f>
        <v>2.2</v>
      </c>
      <c r="K694" t="str">
        <v>OROTAN 731</v>
      </c>
      <c r="L694" s="4">
        <v>0.0016</v>
      </c>
      <c r="M694" s="2">
        <f>(M707*L694)</f>
        <v>1.6</v>
      </c>
    </row>
    <row r="695">
      <c r="C695" t="str">
        <v>AGITAN 80</v>
      </c>
      <c r="D695" s="4">
        <v>0.001</v>
      </c>
      <c r="E695" s="2">
        <f>(E707*D695)</f>
        <v>1.1</v>
      </c>
      <c r="K695" t="str">
        <v>AGITAN 80</v>
      </c>
      <c r="L695" s="4">
        <v>0.001</v>
      </c>
      <c r="M695" s="2">
        <f>(M707*L695)</f>
        <v>1</v>
      </c>
    </row>
    <row r="696">
      <c r="C696" t="str">
        <v>Biocide CMIF</v>
      </c>
      <c r="D696" s="1">
        <v>0.002</v>
      </c>
      <c r="E696" s="2">
        <f>(E707*D696)</f>
        <v>2.2</v>
      </c>
      <c r="K696" t="str">
        <v>Biocide CMIF</v>
      </c>
      <c r="L696" s="1">
        <v>0.002</v>
      </c>
      <c r="M696" s="2">
        <f>(M707*L696)</f>
        <v>2</v>
      </c>
    </row>
    <row r="697">
      <c r="C697" t="str">
        <v>COMBIZELL</v>
      </c>
      <c r="D697" s="1">
        <v>0.0014</v>
      </c>
      <c r="E697" s="2">
        <f>(E707*D697)</f>
        <v>1.54</v>
      </c>
      <c r="K697" t="str">
        <v>COMBIZELL</v>
      </c>
      <c r="L697" s="1">
        <v>0.0016</v>
      </c>
      <c r="M697" s="2">
        <f>(M707*L697)</f>
        <v>1.6</v>
      </c>
    </row>
    <row r="698">
      <c r="C698" t="str">
        <v>AGITAN 80</v>
      </c>
      <c r="D698" s="1">
        <v>0.001</v>
      </c>
      <c r="E698" s="2">
        <f>(E707*D698)</f>
        <v>1.1</v>
      </c>
      <c r="K698" t="str">
        <v>AGITAN 80</v>
      </c>
      <c r="L698" s="1">
        <v>0.001</v>
      </c>
      <c r="M698" s="2">
        <f>(M707*L698)</f>
        <v>1</v>
      </c>
    </row>
    <row r="699">
      <c r="A699" t="str">
        <v>הכנס ללא גושים ובסיום דספרסיה 5 דקות  בF 13</v>
      </c>
      <c r="C699" t="str">
        <v>KRONOS 2160</v>
      </c>
      <c r="D699" s="1">
        <v>0.12</v>
      </c>
      <c r="E699" s="2">
        <f>(E707*D699)</f>
        <v>132</v>
      </c>
      <c r="I699" t="str">
        <v>הכנס ללא גושים ובסיום דספרסיה 5 דקות  בF 13</v>
      </c>
      <c r="K699" t="str">
        <v>TIONA 826</v>
      </c>
      <c r="L699" s="1">
        <v>0.12</v>
      </c>
      <c r="M699" s="2">
        <f>(M707*L699)</f>
        <v>120</v>
      </c>
    </row>
    <row r="700">
      <c r="A700" t="str">
        <v>הכנס ללא גושים ובסיום דספרסיה 5 דקות  בF 15</v>
      </c>
      <c r="C700" t="str">
        <v xml:space="preserve"> CHARMOR PM 40</v>
      </c>
      <c r="D700" s="1">
        <v>0.085</v>
      </c>
      <c r="E700" s="2">
        <f>(E707*D700)</f>
        <v>93.5</v>
      </c>
      <c r="I700" t="str">
        <v>הכנס ללא גושים ובסיום דספרסיה 5 דקות  בF 15</v>
      </c>
      <c r="K700" t="str">
        <v xml:space="preserve"> CHARMOR PM 40</v>
      </c>
      <c r="L700" s="1">
        <v>0.09</v>
      </c>
      <c r="M700" s="2">
        <f>(M707*L700)</f>
        <v>90</v>
      </c>
    </row>
    <row r="701">
      <c r="A701" t="str">
        <v>הכנס ללא גושים ובסיום דספרסיה 5 דקות  בF 18</v>
      </c>
      <c r="C701" t="str">
        <v>MELAFINE</v>
      </c>
      <c r="D701" s="1">
        <v>0.085</v>
      </c>
      <c r="E701" s="2">
        <f>(E707*D701)</f>
        <v>93.5</v>
      </c>
      <c r="I701" t="str">
        <v>הכנס ללא גושים ובסיום דספרסיה 5 דקות  בF 18</v>
      </c>
      <c r="K701" t="str">
        <v>MELAFINE</v>
      </c>
      <c r="L701" s="1">
        <v>0.09</v>
      </c>
      <c r="M701" s="2">
        <f>(M707*L701)</f>
        <v>90</v>
      </c>
    </row>
    <row r="702">
      <c r="A702" t="str">
        <v>הכנס בזרם דק עד להומוגניות  בF 15</v>
      </c>
      <c r="C702" s="3" t="str">
        <v>Texanol</v>
      </c>
      <c r="D702" s="1">
        <v>0.007</v>
      </c>
      <c r="E702" s="2">
        <f>(E707*D702)</f>
        <v>7.7</v>
      </c>
      <c r="I702" t="str">
        <v>הכנס בזרם דק עד להומוגניות  בF 15</v>
      </c>
      <c r="K702" s="3" t="str">
        <v>Texanol</v>
      </c>
      <c r="L702" s="1">
        <v>0.0117</v>
      </c>
      <c r="M702" s="2">
        <f>(M707*L702)</f>
        <v>11.700000000000001</v>
      </c>
    </row>
    <row r="703" ht="27.600000000000005" customHeight="1">
      <c r="A703" t="str">
        <v>הכנס ללא גושים  ב F18 עליה ל F21 ובסיום דספרסיה במשך 5 דקות . שים לב שלא יתחמם מידי</v>
      </c>
      <c r="C703" s="3" t="str">
        <v>EXOLIT AP 435</v>
      </c>
      <c r="D703" s="1">
        <v>0.25</v>
      </c>
      <c r="E703" s="2">
        <f>(E707*D703)</f>
        <v>275</v>
      </c>
      <c r="I703" t="str">
        <v>הכנס ללא גושים  ב F18 עליה ל F21 ובסיום דספרסיה במשך 5 דקות . שים לב שלא יתחמם מידי</v>
      </c>
      <c r="K703" s="3" t="str">
        <v>EXOLIT AP 435</v>
      </c>
      <c r="L703" s="1">
        <v>0.25</v>
      </c>
      <c r="M703" s="2">
        <f>(M707*L703)</f>
        <v>250</v>
      </c>
    </row>
    <row r="704">
      <c r="A704" t="str">
        <v>להכניס לאט ובהדרגה  לפוזור מלא ב12 F</v>
      </c>
      <c r="C704" s="3" t="str">
        <v>Lapinus CF 10</v>
      </c>
      <c r="D704" s="1">
        <v>0.03</v>
      </c>
      <c r="E704" s="2">
        <f>(E707*D704)</f>
        <v>33</v>
      </c>
      <c r="I704" t="str">
        <v>להכניס לאט ובהדרגה  לפוזור מלא ב12 F</v>
      </c>
      <c r="K704" s="3" t="str">
        <v>Lapinus CF 10</v>
      </c>
      <c r="L704" s="1">
        <v>0.03</v>
      </c>
      <c r="M704" s="2">
        <f>(M707*L704)</f>
        <v>30</v>
      </c>
    </row>
    <row r="705">
      <c r="A705" t="str">
        <v>הכנס בזרם דק עד להומוגניות  בF 12</v>
      </c>
      <c r="C705" s="3" t="str">
        <v>VINNAPAS EZ 3112</v>
      </c>
      <c r="D705" s="1">
        <v>0.253</v>
      </c>
      <c r="E705" s="2">
        <f>(E707*D705)</f>
        <v>278.3</v>
      </c>
      <c r="I705" t="str">
        <v>הכנס בזרם דק עד להומוגניות  בF 12</v>
      </c>
      <c r="K705" s="3" t="str">
        <v>ENCOR 2394</v>
      </c>
      <c r="L705" s="1">
        <v>0.225</v>
      </c>
      <c r="M705" s="2">
        <f>(M707*L705)</f>
        <v>225</v>
      </c>
    </row>
    <row r="706">
      <c r="A706" t="str">
        <v>יש להכניס תוך ערבוב ולהמשיך ערבוב איטי כ5 דקות</v>
      </c>
      <c r="C706" s="3" t="str">
        <v>AGITAN 80</v>
      </c>
      <c r="D706" s="1">
        <v>0.001</v>
      </c>
      <c r="E706" s="2">
        <f>(E707*D706)</f>
        <v>1.1</v>
      </c>
      <c r="I706" t="str">
        <v>יש להכניס תוך ערבוב ולהמשיך ערבוב איטי כ5 דקות</v>
      </c>
      <c r="K706" s="3" t="str">
        <v>AGITAN 80</v>
      </c>
      <c r="L706" s="1">
        <v>0.001</v>
      </c>
      <c r="M706" s="2">
        <f>(M707*L706)</f>
        <v>1</v>
      </c>
    </row>
    <row r="707">
      <c r="D707" s="4">
        <f>SUM(D693:D706)</f>
        <v>1</v>
      </c>
      <c r="E707" s="2">
        <v>1100</v>
      </c>
      <c r="L707" s="4">
        <f>SUM(L693:L706)</f>
        <v>1</v>
      </c>
      <c r="M707" s="2">
        <v>1000</v>
      </c>
    </row>
    <row r="708">
      <c r="E708" s="2">
        <f>SUM(E693:E706)</f>
        <v>1100</v>
      </c>
      <c r="M708" s="2">
        <f>SUM(M693:M706)</f>
        <v>1000</v>
      </c>
    </row>
    <row r="711">
      <c r="A711" t="str">
        <v xml:space="preserve">            12.9.2023-044     Fresco INTUMESCENT</v>
      </c>
      <c r="I711" t="str">
        <v xml:space="preserve">            27.9.2023-046     Fresco INTUMESCENT</v>
      </c>
    </row>
    <row r="712">
      <c r="A712" t="str">
        <v xml:space="preserve">על בסיס   034   VINNAPAS EZ 3112 הקטנת ל2% CC401, </v>
      </c>
      <c r="I712" t="str">
        <v>על בסיס   034 037    VINNAPAS EZ 3112 הקטנת ל2% CC401,  עם  CROS FR 487</v>
      </c>
    </row>
    <row r="713">
      <c r="A713" t="str">
        <v>הוראות יצור</v>
      </c>
      <c r="B713" t="str">
        <v>שעה - הערות</v>
      </c>
      <c r="D713" t="str">
        <v>חומר</v>
      </c>
      <c r="E713" t="str">
        <v>כמות ק''ג</v>
      </c>
      <c r="I713" t="str">
        <v>הוראות יצור</v>
      </c>
      <c r="J713" t="str">
        <v>שעה - הערות</v>
      </c>
      <c r="L713" t="str">
        <v>חומר</v>
      </c>
      <c r="M713" t="str">
        <v>כמות ק''ג</v>
      </c>
    </row>
    <row r="714">
      <c r="A714" t="str">
        <v>הכנס חומרים לאט ופזר היטב. הפעל 5 דקות דספרסיה בין הכנסת כל חומר. וודא שאין קצף לפני המעבר לשלב הבא. עבוד במהירות בF10</v>
      </c>
      <c r="C714" t="str">
        <v>water</v>
      </c>
      <c r="D714" s="1">
        <v>0.1553</v>
      </c>
      <c r="E714" s="2">
        <f>(E729*D714)</f>
        <v>155.29999999999998</v>
      </c>
      <c r="I714" t="str">
        <v>הכנס חומרים לאט ופזר היטב. הפעל 5 דקות דספרסיה בין הכנסת כל חומר. וודא שאין קצף לפני המעבר לשלב הבא. עבוד במהירות בF10</v>
      </c>
      <c r="K714" t="str">
        <v>water</v>
      </c>
      <c r="L714" s="1">
        <v>0.156</v>
      </c>
      <c r="M714" s="2">
        <f>(M729*L714)</f>
        <v>156</v>
      </c>
    </row>
    <row r="715">
      <c r="C715" t="str">
        <v>Levasil CC401</v>
      </c>
      <c r="D715" s="1">
        <v>0.02</v>
      </c>
      <c r="E715" s="2">
        <f>(E729*D715)</f>
        <v>20</v>
      </c>
      <c r="K715" t="str">
        <v>Levasil CC401</v>
      </c>
      <c r="L715" s="1">
        <v>0.02</v>
      </c>
      <c r="M715" s="2">
        <f>(M729*L715)</f>
        <v>20</v>
      </c>
    </row>
    <row r="716">
      <c r="C716" t="str">
        <v>OROTAN 731</v>
      </c>
      <c r="D716" s="4">
        <v>0.0016</v>
      </c>
      <c r="E716" s="2">
        <f>(E729*D716)</f>
        <v>1.6</v>
      </c>
      <c r="K716" t="str">
        <v>OROTAN 731</v>
      </c>
      <c r="L716" s="4">
        <v>0.0016</v>
      </c>
      <c r="M716" s="2">
        <f>(M729*L716)</f>
        <v>1.6</v>
      </c>
    </row>
    <row r="717">
      <c r="C717" t="str">
        <v>AGITAN 80</v>
      </c>
      <c r="D717" s="4">
        <v>0.001</v>
      </c>
      <c r="E717" s="2">
        <f>(E729*D717)</f>
        <v>1</v>
      </c>
      <c r="K717" t="str">
        <v>AGITAN 80</v>
      </c>
      <c r="L717" s="4">
        <v>0.001</v>
      </c>
      <c r="M717" s="2">
        <f>(M729*L717)</f>
        <v>1</v>
      </c>
    </row>
    <row r="718">
      <c r="C718" t="str">
        <v>Biocide CMIF</v>
      </c>
      <c r="D718" s="1">
        <v>0.002</v>
      </c>
      <c r="E718" s="2">
        <f>(E729*D718)</f>
        <v>2</v>
      </c>
      <c r="K718" t="str">
        <v>Biocide CMIF</v>
      </c>
      <c r="L718" s="1">
        <v>0.002</v>
      </c>
      <c r="M718" s="2">
        <f>(M729*L718)</f>
        <v>2</v>
      </c>
    </row>
    <row r="719">
      <c r="C719" t="str">
        <v>COMBIZELL</v>
      </c>
      <c r="D719" s="1">
        <v>0.0019</v>
      </c>
      <c r="E719" s="2">
        <f>(E729*D719)</f>
        <v>1.9</v>
      </c>
      <c r="K719" t="str">
        <v>COMBIZELL</v>
      </c>
      <c r="L719" s="1">
        <v>0.0012</v>
      </c>
      <c r="M719" s="2">
        <f>(M729*L719)</f>
        <v>1.2</v>
      </c>
    </row>
    <row r="720">
      <c r="C720" t="str">
        <v>AGITAN 80</v>
      </c>
      <c r="D720" s="1">
        <v>0.001</v>
      </c>
      <c r="E720" s="2">
        <f>(E729*D720)</f>
        <v>1</v>
      </c>
      <c r="K720" t="str">
        <v>AGITAN 80</v>
      </c>
      <c r="L720" s="1">
        <v>0.001</v>
      </c>
      <c r="M720" s="2">
        <f>(M729*L720)</f>
        <v>1</v>
      </c>
    </row>
    <row r="721">
      <c r="A721" t="str">
        <v>הכנס ללא גושים ובסיום דספרסיה 5 דקות  בF 13</v>
      </c>
      <c r="C721" t="str">
        <v>TIONA 826</v>
      </c>
      <c r="D721" s="1">
        <v>0.12</v>
      </c>
      <c r="E721" s="2">
        <f>(E729*D721)</f>
        <v>120</v>
      </c>
      <c r="I721" t="str">
        <v>הכנס ללא גושים ובסיום דספרסיה 5 דקות  בF 13</v>
      </c>
      <c r="K721" t="str">
        <v>TIONA 826</v>
      </c>
      <c r="L721" s="1">
        <v>0.12</v>
      </c>
      <c r="M721" s="2">
        <f>(M729*L721)</f>
        <v>120</v>
      </c>
    </row>
    <row r="722">
      <c r="A722" t="str">
        <v>הכנס ללא גושים ובסיום דספרסיה 5 דקות  בF 15</v>
      </c>
      <c r="C722" t="str">
        <v xml:space="preserve"> CHARMOR PM 40</v>
      </c>
      <c r="D722" s="1">
        <v>0.1</v>
      </c>
      <c r="E722" s="2">
        <f>(E729*D722)</f>
        <v>100</v>
      </c>
      <c r="I722" t="str">
        <v>הכנס ללא גושים ובסיום דספרסיה 5 דקות  בF 15</v>
      </c>
      <c r="K722" t="str">
        <v xml:space="preserve"> CHARMOR PM 40</v>
      </c>
      <c r="L722" s="1">
        <v>0.09</v>
      </c>
      <c r="M722" s="2">
        <f>(M729*L722)</f>
        <v>90</v>
      </c>
    </row>
    <row r="723">
      <c r="A723" t="str">
        <v>הכנס ללא גושים ובסיום דספרסיה 5 דקות  בF 18</v>
      </c>
      <c r="C723" t="str">
        <v>MELAFINE</v>
      </c>
      <c r="D723" s="1">
        <v>0.1</v>
      </c>
      <c r="E723" s="2">
        <f>(E729*D723)</f>
        <v>100</v>
      </c>
      <c r="I723" t="str">
        <v>הכנס ללא גושים ובסיום דספרסיה 5 דקות  בF 18</v>
      </c>
      <c r="K723" t="str">
        <v>MELAFINE</v>
      </c>
      <c r="L723" s="1">
        <v>0.09</v>
      </c>
      <c r="M723" s="2">
        <f>(M729*L723)</f>
        <v>90</v>
      </c>
    </row>
    <row r="724">
      <c r="A724" t="str">
        <v>הכנס בזרם דק עד להומוגניות  בF 15</v>
      </c>
      <c r="C724" s="3" t="str">
        <v>Texanol</v>
      </c>
      <c r="D724" s="1">
        <v>0.0117</v>
      </c>
      <c r="E724" s="2">
        <f>(E729*D724)</f>
        <v>11.700000000000001</v>
      </c>
      <c r="I724" t="str">
        <v>הכנס בזרם דק עד להומוגניות  בF 15</v>
      </c>
      <c r="K724" s="3" t="str">
        <v>Texanol</v>
      </c>
      <c r="L724" s="1">
        <v>0.0117</v>
      </c>
      <c r="M724" s="2">
        <f>(M729*L724)</f>
        <v>11.700000000000001</v>
      </c>
    </row>
    <row r="725" ht="27.600000000000005" customHeight="1">
      <c r="A725" t="str">
        <v>הכנס ללא גושים  ב F18 עליה ל F21 ובסיום דספרסיה במשך 5 דקות . שים לב שלא יתחמם מידי</v>
      </c>
      <c r="C725" s="3" t="str">
        <v>EXOLIT AP435</v>
      </c>
      <c r="D725" s="1">
        <v>0.24</v>
      </c>
      <c r="E725" s="2">
        <f>(E729*D725)</f>
        <v>240</v>
      </c>
      <c r="I725" t="str">
        <v>הכנס ללא גושים  ב F18 עליה ל F21 ובסיום דספרסיה במשך 5 דקות . שים לב שלא יתחמם מידי</v>
      </c>
      <c r="K725" s="3" t="str">
        <v xml:space="preserve"> CROS FR 487</v>
      </c>
      <c r="L725" s="1">
        <v>0.25</v>
      </c>
      <c r="M725" s="2">
        <f>(M729*L725)</f>
        <v>250</v>
      </c>
    </row>
    <row r="726">
      <c r="A726" t="str">
        <v>להכניס לאט ובהדרגה  לפוזור מלא ב12 F</v>
      </c>
      <c r="C726" s="3" t="str">
        <v>Lapinus CF 10</v>
      </c>
      <c r="D726" s="1">
        <v>0.03</v>
      </c>
      <c r="E726" s="2">
        <f>(E729*D726)</f>
        <v>30</v>
      </c>
      <c r="I726" t="str">
        <v>להכניס לאט ובהדרגה  לפוזור מלא ב12 F</v>
      </c>
      <c r="K726" s="3" t="str">
        <v>Lapinus CF 10</v>
      </c>
      <c r="L726" s="1">
        <v>0.03</v>
      </c>
      <c r="M726" s="2">
        <f>(M729*L726)</f>
        <v>30</v>
      </c>
    </row>
    <row r="727">
      <c r="A727" t="str">
        <v>הכנס בזרם דק עד להומוגניות  בF 12  לאחר מכן הכנס אגיטן ובסיום המשך 7 דקות ערבול</v>
      </c>
      <c r="C727" s="3" t="str">
        <v>VINNAPAS EZ 3112</v>
      </c>
      <c r="D727" s="1">
        <v>0.215</v>
      </c>
      <c r="E727" s="2">
        <f>(E729*D727)</f>
        <v>215</v>
      </c>
      <c r="I727" t="str">
        <v>הכנס בזרם דק עד להומוגניות  בF 12  לאחר מכן הכנס אגיטן ובסיום המשך 7 דקות ערבול</v>
      </c>
      <c r="K727" s="3" t="str">
        <v>VINNAPAS EZ 3112</v>
      </c>
      <c r="L727" s="1">
        <v>0.225</v>
      </c>
      <c r="M727" s="2">
        <f>(M729*L727)</f>
        <v>225</v>
      </c>
    </row>
    <row r="728">
      <c r="C728" s="3" t="str">
        <v>AGITAN 80</v>
      </c>
      <c r="D728" s="1">
        <v>0.0005</v>
      </c>
      <c r="E728" s="2">
        <f>(E729*D728)</f>
        <v>0.5</v>
      </c>
      <c r="K728" s="3" t="str">
        <v>AGITAN 80</v>
      </c>
      <c r="L728" s="1">
        <v>0.0005</v>
      </c>
      <c r="M728" s="2">
        <f>(M729*L728)</f>
        <v>0.5</v>
      </c>
    </row>
    <row r="729">
      <c r="D729" s="4">
        <f>SUM(D714:D728)</f>
        <v>0.9999999999999999</v>
      </c>
      <c r="E729" s="2">
        <v>1000</v>
      </c>
      <c r="L729" s="4">
        <f>SUM(L714:L728)</f>
        <v>0.9999999999999999</v>
      </c>
      <c r="M729" s="2">
        <v>1000</v>
      </c>
    </row>
    <row r="730">
      <c r="E730" s="2">
        <f>SUM(E714:E728)</f>
        <v>1000</v>
      </c>
      <c r="M730" s="2">
        <f>SUM(M714:M728)</f>
        <v>1000</v>
      </c>
    </row>
    <row r="735">
      <c r="A735" t="str">
        <v xml:space="preserve">         27.9.2023-047    Fresco INTUMESCENT</v>
      </c>
      <c r="I735" t="str">
        <v xml:space="preserve">            27.9.2023-048     Fresco INTUMESCENT</v>
      </c>
    </row>
    <row r="736">
      <c r="A736" t="str">
        <v>על פי 037  עם  VINNAPAS EZ 3019</v>
      </c>
      <c r="I736" t="str">
        <v xml:space="preserve">על בסיס   036    VINNAPAS EZ 3019 </v>
      </c>
    </row>
    <row r="737">
      <c r="A737" t="str">
        <v>הוראות יצור</v>
      </c>
      <c r="B737" t="str">
        <v>שעה - הערות</v>
      </c>
      <c r="D737" t="str">
        <v>חומר</v>
      </c>
      <c r="E737" t="str">
        <v>כמות ק''ג</v>
      </c>
      <c r="I737" t="str">
        <v>הוראות יצור</v>
      </c>
      <c r="J737" t="str">
        <v>שעה - הערות</v>
      </c>
      <c r="L737" t="str">
        <v>חומר</v>
      </c>
      <c r="M737" t="str">
        <v>כמות ק''ג</v>
      </c>
    </row>
    <row r="738">
      <c r="A738" t="str">
        <v>הכנס חומרים לאט ופזר היטב. הפעל 5 דקות דספרסיה בין הכנסת כל חומר. וודא שאין קצף לפני המעבר לשלב הבא. עבוד במהירות בF10</v>
      </c>
      <c r="C738" t="str">
        <v>water</v>
      </c>
      <c r="D738" s="1">
        <v>0.1749</v>
      </c>
      <c r="E738" s="2">
        <f>(E752*D738)</f>
        <v>174.9</v>
      </c>
      <c r="I738" t="str">
        <v>הכנס חומרים לאט ופזר היטב. הפעל 5 דקות דספרסיה בין הכנסת כל חומר. וודא שאין קצף לפני המעבר לשלב הבא. עבוד במהירות בF10</v>
      </c>
      <c r="K738" t="str">
        <v>water</v>
      </c>
      <c r="L738" s="1">
        <v>0.156</v>
      </c>
      <c r="M738" s="2">
        <f>(M753*L738)</f>
        <v>156</v>
      </c>
    </row>
    <row r="739">
      <c r="C739" t="str">
        <v>OROTAN 731</v>
      </c>
      <c r="D739" s="4">
        <v>0.0016</v>
      </c>
      <c r="E739" s="2">
        <f>(E752*D739)</f>
        <v>1.6</v>
      </c>
      <c r="K739" t="str">
        <v>Levasil CC401</v>
      </c>
      <c r="L739" s="1">
        <v>0.02</v>
      </c>
      <c r="M739" s="2">
        <f>(M753*L739)</f>
        <v>20</v>
      </c>
    </row>
    <row r="740">
      <c r="C740" t="str">
        <v>AGITAN 80</v>
      </c>
      <c r="D740" s="4">
        <v>0.001</v>
      </c>
      <c r="E740" s="2">
        <f>(E752*D740)</f>
        <v>1</v>
      </c>
      <c r="K740" t="str">
        <v>OROTAN 731</v>
      </c>
      <c r="L740" s="4">
        <v>0.0016</v>
      </c>
      <c r="M740" s="2">
        <f>(M753*L740)</f>
        <v>1.6</v>
      </c>
    </row>
    <row r="741">
      <c r="C741" t="str">
        <v>Biocide CMIF</v>
      </c>
      <c r="D741" s="1">
        <v>0.002</v>
      </c>
      <c r="E741" s="2">
        <f>(E752*D741)</f>
        <v>2</v>
      </c>
      <c r="K741" t="str">
        <v>AGITAN 80</v>
      </c>
      <c r="L741" s="4">
        <v>0.001</v>
      </c>
      <c r="M741" s="2">
        <f>(M753*L741)</f>
        <v>1</v>
      </c>
    </row>
    <row r="742">
      <c r="C742" t="str">
        <v>COMBIZELL</v>
      </c>
      <c r="D742" s="1">
        <v>0.0018</v>
      </c>
      <c r="E742" s="2">
        <f>(E752*D742)</f>
        <v>1.8</v>
      </c>
      <c r="K742" t="str">
        <v>Biocide CMIF</v>
      </c>
      <c r="L742" s="1">
        <v>0.002</v>
      </c>
      <c r="M742" s="2">
        <f>(M753*L742)</f>
        <v>2</v>
      </c>
    </row>
    <row r="743">
      <c r="C743" t="str">
        <v>AGITAN 80</v>
      </c>
      <c r="D743" s="1">
        <v>0.001</v>
      </c>
      <c r="E743" s="2">
        <f>(E752*D743)</f>
        <v>1</v>
      </c>
      <c r="K743" t="str">
        <v>COMBIZELL</v>
      </c>
      <c r="L743" s="1">
        <v>0.0012</v>
      </c>
      <c r="M743" s="2">
        <f>(M753*L743)</f>
        <v>1.2</v>
      </c>
    </row>
    <row r="744">
      <c r="A744" t="str">
        <v>הכנס ללא גושים ובסיום דספרסיה 5 דקות  בF 13</v>
      </c>
      <c r="C744" t="str">
        <v>TIONA 826</v>
      </c>
      <c r="D744" s="1">
        <v>0.12</v>
      </c>
      <c r="E744" s="2">
        <f>(E752*D744)</f>
        <v>120</v>
      </c>
      <c r="K744" t="str">
        <v>AGITAN 80</v>
      </c>
      <c r="L744" s="1">
        <v>0.001</v>
      </c>
      <c r="M744" s="2">
        <f>(M753*L744)</f>
        <v>1</v>
      </c>
    </row>
    <row r="745">
      <c r="A745" t="str">
        <v>הכנס ללא גושים ובסיום דספרסיה 5 דקות  בF 15</v>
      </c>
      <c r="C745" t="str">
        <v xml:space="preserve"> CHARMOR PM 40</v>
      </c>
      <c r="D745" s="1">
        <v>0.09</v>
      </c>
      <c r="E745" s="2">
        <f>(E752*D745)</f>
        <v>90</v>
      </c>
      <c r="I745" t="str">
        <v>הכנס ללא גושים ובסיום דספרסיה 5 דקות  בF 13</v>
      </c>
      <c r="K745" t="str">
        <v>TIONA 826</v>
      </c>
      <c r="L745" s="1">
        <v>0.12</v>
      </c>
      <c r="M745" s="2">
        <f>(M753*L745)</f>
        <v>120</v>
      </c>
    </row>
    <row r="746">
      <c r="A746" t="str">
        <v>הכנס ללא גושים ובסיום דספרסיה 5 דקות  בF 18</v>
      </c>
      <c r="C746" t="str">
        <v>MELAFINE</v>
      </c>
      <c r="D746" s="1">
        <v>0.09</v>
      </c>
      <c r="E746" s="2">
        <f>(E752*D746)</f>
        <v>90</v>
      </c>
      <c r="I746" t="str">
        <v>הכנס ללא גושים ובסיום דספרסיה 5 דקות  בF 15</v>
      </c>
      <c r="K746" t="str">
        <v xml:space="preserve"> CHARMOR PM 40</v>
      </c>
      <c r="L746" s="1">
        <v>0.09</v>
      </c>
      <c r="M746" s="2">
        <f>(M753*L746)</f>
        <v>90</v>
      </c>
    </row>
    <row r="747">
      <c r="A747" t="str">
        <v>הכנס בזרם דק עד להומוגניות  בF 15</v>
      </c>
      <c r="C747" s="3" t="str">
        <v>Texanol</v>
      </c>
      <c r="D747" s="1">
        <v>0.0117</v>
      </c>
      <c r="E747" s="2">
        <f>(E752*D747)</f>
        <v>11.700000000000001</v>
      </c>
      <c r="I747" t="str">
        <v>הכנס ללא גושים ובסיום דספרסיה 5 דקות  בF 18</v>
      </c>
      <c r="K747" t="str">
        <v>MELAFINE</v>
      </c>
      <c r="L747" s="1">
        <v>0.09</v>
      </c>
      <c r="M747" s="2">
        <f>(M753*L747)</f>
        <v>90</v>
      </c>
    </row>
    <row r="748" ht="27.600000000000005" customHeight="1">
      <c r="A748" t="str">
        <v>הכנס ללא גושים  ב F18 עליה ל F21 ובסיום דספרסיה במשך 5 דקות . שים לב שלא יתחמם מידי</v>
      </c>
      <c r="C748" s="3" t="str">
        <v>FR CROS 487</v>
      </c>
      <c r="D748" s="1">
        <v>0.25</v>
      </c>
      <c r="E748" s="2">
        <f>(E752*D748)</f>
        <v>250</v>
      </c>
      <c r="I748" t="str">
        <v>הכנס בזרם דק עד להומוגניות  בF 15</v>
      </c>
      <c r="K748" s="3" t="str">
        <v>Texanol</v>
      </c>
      <c r="L748" s="1">
        <v>0.0117</v>
      </c>
      <c r="M748" s="2">
        <f>(M753*L748)</f>
        <v>11.700000000000001</v>
      </c>
    </row>
    <row r="749" ht="27.600000000000005" customHeight="1">
      <c r="A749" t="str">
        <v>להכניס לאט ובהדרגה  לפוזור מלא ב12 F</v>
      </c>
      <c r="C749" s="3" t="str">
        <v>Lapinus CF 10</v>
      </c>
      <c r="D749" s="1">
        <v>0.03</v>
      </c>
      <c r="E749" s="2">
        <f>(E752*D749)</f>
        <v>30</v>
      </c>
      <c r="I749" t="str">
        <v>הכנס ללא גושים  ב F18 עליה ל F21 ובסיום דספרסיה במשך 5 דקות . שים לב שלא יתחמם מידי</v>
      </c>
      <c r="K749" s="3" t="str">
        <v xml:space="preserve"> CROS FR 487</v>
      </c>
      <c r="L749" s="1">
        <v>0.25</v>
      </c>
      <c r="M749" s="2">
        <f>(M753*L749)</f>
        <v>250</v>
      </c>
    </row>
    <row r="750">
      <c r="A750" t="str">
        <v>הכנס בזרם דק עד להומוגניות  בF 12</v>
      </c>
      <c r="C750" s="3" t="str">
        <v>VINNAPAS EZ 3019</v>
      </c>
      <c r="D750" s="1">
        <v>0.225</v>
      </c>
      <c r="E750" s="2">
        <f>(E752*D750)</f>
        <v>225</v>
      </c>
      <c r="I750" t="str">
        <v>להכניס לאט ובהדרגה  לפוזור מלא ב12 F</v>
      </c>
      <c r="K750" s="3" t="str">
        <v>Lapinus CF 10</v>
      </c>
      <c r="L750" s="1">
        <v>0.03</v>
      </c>
      <c r="M750" s="2">
        <f>(M753*L750)</f>
        <v>30</v>
      </c>
    </row>
    <row r="751">
      <c r="A751" t="str">
        <v>יש להכניס תוך ערבוב ולהמשיך ערבוב איטי כ5 דקות</v>
      </c>
      <c r="C751" s="3" t="str">
        <v>AGITAN 80</v>
      </c>
      <c r="D751" s="1">
        <v>0.001</v>
      </c>
      <c r="E751" s="2">
        <f>(E752*D751)</f>
        <v>1</v>
      </c>
      <c r="I751" t="str">
        <v>הכנס בזרם דק עד להומוגניות  בF 12  לאחר מכן הכנס אגיטן ובסיום המשך 7 דקות ערבול</v>
      </c>
      <c r="K751" s="3" t="str">
        <v>VINNAPAS EZ 3019</v>
      </c>
      <c r="L751" s="1">
        <v>0.225</v>
      </c>
      <c r="M751" s="2">
        <f>(M753*L751)</f>
        <v>225</v>
      </c>
    </row>
    <row r="752">
      <c r="D752" s="4">
        <f>SUM(D738:D751)</f>
        <v>1</v>
      </c>
      <c r="E752" s="2">
        <v>1000</v>
      </c>
      <c r="K752" s="3" t="str">
        <v>AGITAN 80</v>
      </c>
      <c r="L752" s="1">
        <v>0.0005</v>
      </c>
      <c r="M752" s="2">
        <f>(M753*L752)</f>
        <v>0.5</v>
      </c>
    </row>
    <row r="753">
      <c r="E753" s="2">
        <f>SUM(E738:E751)</f>
        <v>1000</v>
      </c>
      <c r="L753" s="4">
        <f>SUM(L738:L752)</f>
        <v>0.9999999999999999</v>
      </c>
      <c r="M753" s="2">
        <v>1000</v>
      </c>
    </row>
    <row r="754">
      <c r="M754" s="2">
        <f>SUM(M738:M752)</f>
        <v>1000</v>
      </c>
    </row>
    <row r="759">
      <c r="A759" t="str">
        <v xml:space="preserve">         28.9.2023-049   Fresco INTUMESCENT</v>
      </c>
      <c r="I759" t="str">
        <v xml:space="preserve">         28.9.2023-050   Fresco INTUMESCENT</v>
      </c>
    </row>
    <row r="760">
      <c r="A760" t="str">
        <v>על פי 043 - (EXOLIT AP 435 +ENCOR 2394)  הקטנת מלמין, קרונוס 2160, הגדלת APP</v>
      </c>
      <c r="I760" t="str">
        <v>העל פי 043 - (EXOLIT AP 435 +VINNAPAS EZ 3112)  הקטנת מלמין, קרונוס 2160, הגדלת APP</v>
      </c>
    </row>
    <row r="761">
      <c r="A761" t="str">
        <v>הוראות יצור</v>
      </c>
      <c r="B761" t="str">
        <v>שעה - הערות</v>
      </c>
      <c r="D761" t="str">
        <v>חומר</v>
      </c>
      <c r="E761" t="str">
        <v>כמות ק''ג</v>
      </c>
      <c r="I761" t="str">
        <v>הוראות יצור</v>
      </c>
      <c r="J761" t="str">
        <v>שעה - הערות</v>
      </c>
      <c r="L761" t="str">
        <v>חומר</v>
      </c>
      <c r="M761" t="str">
        <v>כמות ק''ג</v>
      </c>
    </row>
    <row r="762">
      <c r="A762" t="str">
        <v>הכנס חומרים לאט ופזר היטב. הפעל 5 דקות דספרסיה בין הכנסת כל חומר. וודא שאין קצף לפני המעבר לשלב הבא. עבוד במהירות בF10</v>
      </c>
      <c r="C762" t="str">
        <v>water</v>
      </c>
      <c r="D762" s="1">
        <v>0.1751</v>
      </c>
      <c r="E762" s="2">
        <f>(E776*D762)</f>
        <v>175.1</v>
      </c>
      <c r="I762" t="str">
        <v>הכנס חומרים לאט ופזר היטב. הפעל 5 דקות דספרסיה בין הכנסת כל חומר. וודא שאין קצף לפני המעבר לשלב הבא. עבוד במהירות בF10</v>
      </c>
      <c r="K762" t="str">
        <v>water</v>
      </c>
      <c r="L762" s="1">
        <v>0.1751</v>
      </c>
      <c r="M762" s="2">
        <f>(M776*L762)</f>
        <v>175.1</v>
      </c>
    </row>
    <row r="763">
      <c r="C763" t="str">
        <v>OROTAN 731</v>
      </c>
      <c r="D763" s="4">
        <v>0.0016</v>
      </c>
      <c r="E763" s="2">
        <f>(E776*D763)</f>
        <v>1.6</v>
      </c>
      <c r="K763" t="str">
        <v>OROTAN 731</v>
      </c>
      <c r="L763" s="4">
        <v>0.0016</v>
      </c>
      <c r="M763" s="2">
        <f>(M776*L763)</f>
        <v>1.6</v>
      </c>
    </row>
    <row r="764">
      <c r="C764" t="str">
        <v>AGITAN 80</v>
      </c>
      <c r="D764" s="4">
        <v>0.001</v>
      </c>
      <c r="E764" s="2">
        <f>(E776*D764)</f>
        <v>1</v>
      </c>
      <c r="K764" t="str">
        <v>AGITAN 80</v>
      </c>
      <c r="L764" s="4">
        <v>0.001</v>
      </c>
      <c r="M764" s="2">
        <f>(M776*L764)</f>
        <v>1</v>
      </c>
    </row>
    <row r="765">
      <c r="C765" t="str">
        <v>Biocide CMIF</v>
      </c>
      <c r="D765" s="1">
        <v>0.002</v>
      </c>
      <c r="E765" s="2">
        <f>(E776*D765)</f>
        <v>2</v>
      </c>
      <c r="K765" t="str">
        <v>Biocide CMIF</v>
      </c>
      <c r="L765" s="1">
        <v>0.002</v>
      </c>
      <c r="M765" s="2">
        <f>(M776*L765)</f>
        <v>2</v>
      </c>
    </row>
    <row r="766">
      <c r="C766" t="str">
        <v>COMBIZELL</v>
      </c>
      <c r="D766" s="1">
        <v>0.0016</v>
      </c>
      <c r="E766" s="2">
        <f>(E776*D766)</f>
        <v>1.6</v>
      </c>
      <c r="K766" t="str">
        <v>COMBIZELL</v>
      </c>
      <c r="L766" s="1">
        <v>0.0016</v>
      </c>
      <c r="M766" s="2">
        <f>(M776*L766)</f>
        <v>1.6</v>
      </c>
    </row>
    <row r="767">
      <c r="C767" t="str">
        <v>AGITAN 80</v>
      </c>
      <c r="D767" s="1">
        <v>0.001</v>
      </c>
      <c r="E767" s="2">
        <f>(E776*D767)</f>
        <v>1</v>
      </c>
      <c r="K767" t="str">
        <v>AGITAN 80</v>
      </c>
      <c r="L767" s="1">
        <v>0.001</v>
      </c>
      <c r="M767" s="2">
        <f>(M776*L767)</f>
        <v>1</v>
      </c>
    </row>
    <row r="768">
      <c r="A768" t="str">
        <v>הכנס ללא גושים ובסיום דספרסיה 5 דקות  בF 13</v>
      </c>
      <c r="C768" t="str">
        <v>KRONOS 2160</v>
      </c>
      <c r="D768" s="1">
        <v>0.12</v>
      </c>
      <c r="E768" s="2">
        <f>(E776*D768)</f>
        <v>120</v>
      </c>
      <c r="I768" t="str">
        <v>הכנס ללא גושים ובסיום דספרסיה 5 דקות  בF 13</v>
      </c>
      <c r="K768" t="str">
        <v>TIONA 826</v>
      </c>
      <c r="L768" s="1">
        <v>0.12</v>
      </c>
      <c r="M768" s="2">
        <f>(M776*L768)</f>
        <v>120</v>
      </c>
    </row>
    <row r="769">
      <c r="A769" t="str">
        <v>הכנס ללא גושים ובסיום דספרסיה 5 דקות  בF 15</v>
      </c>
      <c r="C769" t="str">
        <v xml:space="preserve"> CHARMOR PM 40</v>
      </c>
      <c r="D769" s="1">
        <v>0.09</v>
      </c>
      <c r="E769" s="2">
        <f>(E776*D769)</f>
        <v>90</v>
      </c>
      <c r="I769" t="str">
        <v>הכנס ללא גושים ובסיום דספרסיה 5 דקות  בF 15</v>
      </c>
      <c r="K769" t="str">
        <v xml:space="preserve"> CHARMOR PM 40</v>
      </c>
      <c r="L769" s="1">
        <v>0.09</v>
      </c>
      <c r="M769" s="2">
        <f>(M776*L769)</f>
        <v>90</v>
      </c>
    </row>
    <row r="770">
      <c r="A770" t="str">
        <v>הכנס ללא גושים ובסיום דספרסיה 5 דקות  בF 18</v>
      </c>
      <c r="C770" t="str">
        <v>MELAFINE</v>
      </c>
      <c r="D770" s="1">
        <v>0.085</v>
      </c>
      <c r="E770" s="2">
        <f>(E776*D770)</f>
        <v>85</v>
      </c>
      <c r="I770" t="str">
        <v>הכנס ללא גושים ובסיום דספרסיה 5 דקות  בF 18</v>
      </c>
      <c r="K770" t="str">
        <v>MELAFINE</v>
      </c>
      <c r="L770" s="1">
        <v>0.085</v>
      </c>
      <c r="M770" s="2">
        <f>(M776*L770)</f>
        <v>85</v>
      </c>
    </row>
    <row r="771">
      <c r="A771" t="str">
        <v>הכנס בזרם דק עד להומוגניות  בF 15</v>
      </c>
      <c r="C771" s="3" t="str">
        <v>Texanol</v>
      </c>
      <c r="D771" s="1">
        <v>0.0117</v>
      </c>
      <c r="E771" s="2">
        <f>(E776*D771)</f>
        <v>11.700000000000001</v>
      </c>
      <c r="I771" t="str">
        <v>הכנס בזרם דק עד להומוגניות  בF 15</v>
      </c>
      <c r="K771" s="3" t="str">
        <v>Texanol</v>
      </c>
      <c r="L771" s="1">
        <v>0.0117</v>
      </c>
      <c r="M771" s="2">
        <f>(M776*L771)</f>
        <v>11.700000000000001</v>
      </c>
    </row>
    <row r="772" ht="27.600000000000005" customHeight="1">
      <c r="A772" t="str">
        <v>הכנס ללא גושים  ב F18 עליה ל F21 ובסיום דספרסיה במשך 5 דקות . שים לב שלא יתחמם מידי</v>
      </c>
      <c r="C772" s="3" t="str">
        <v>EXOLIT AP 435</v>
      </c>
      <c r="D772" s="1">
        <v>0.255</v>
      </c>
      <c r="E772" s="2">
        <f>(E776*D772)</f>
        <v>255</v>
      </c>
      <c r="I772" t="str">
        <v>הכנס ללא גושים  ב F18 עליה ל F21 ובסיום דספרסיה במשך 5 דקות . שים לב שלא יתחמם מידי</v>
      </c>
      <c r="K772" s="3" t="str">
        <v>EXOLIT AP 435</v>
      </c>
      <c r="L772" s="1">
        <v>0.255</v>
      </c>
      <c r="M772" s="2">
        <f>(M776*L772)</f>
        <v>255</v>
      </c>
    </row>
    <row r="773">
      <c r="A773" t="str">
        <v>להכניס לאט ובהדרגה  לפוזור מלא ב12 F</v>
      </c>
      <c r="C773" s="3" t="str">
        <v>Lapinus CF 10</v>
      </c>
      <c r="D773" s="1">
        <v>0.03</v>
      </c>
      <c r="E773" s="2">
        <f>(E776*D773)</f>
        <v>30</v>
      </c>
      <c r="I773" t="str">
        <v>להכניס לאט ובהדרגה  לפוזור מלא ב12 F</v>
      </c>
      <c r="K773" s="3" t="str">
        <v>Lapinus CF 10</v>
      </c>
      <c r="L773" s="1">
        <v>0.03</v>
      </c>
      <c r="M773" s="2">
        <f>(M776*L773)</f>
        <v>30</v>
      </c>
    </row>
    <row r="774">
      <c r="A774" t="str">
        <v>הכנס בזרם דק עד להומוגניות  בF 12</v>
      </c>
      <c r="C774" s="3" t="str">
        <v>ENCOR 2394</v>
      </c>
      <c r="D774" s="1">
        <v>0.225</v>
      </c>
      <c r="E774" s="2">
        <f>(E776*D774)</f>
        <v>225</v>
      </c>
      <c r="I774" t="str">
        <v>הכנס בזרם דק עד להומוגניות  בF 12</v>
      </c>
      <c r="K774" s="3" t="str">
        <v>VINNAPAS EZ 3112</v>
      </c>
      <c r="L774" s="1">
        <v>0.225</v>
      </c>
      <c r="M774" s="2">
        <f>(M776*L774)</f>
        <v>225</v>
      </c>
    </row>
    <row r="775">
      <c r="A775" t="str">
        <v>יש להכניס תוך ערבוב ולהמשיך ערבוב איטי כ5 דקות</v>
      </c>
      <c r="C775" s="3" t="str">
        <v>AGITAN 80</v>
      </c>
      <c r="D775" s="1">
        <v>0.001</v>
      </c>
      <c r="E775" s="2">
        <f>(E776*D775)</f>
        <v>1</v>
      </c>
      <c r="I775" t="str">
        <v>יש להכניס תוך ערבוב ולהמשיך ערבוב איטי כ5 דקות</v>
      </c>
      <c r="K775" s="3" t="str">
        <v>AGITAN 80</v>
      </c>
      <c r="L775" s="1">
        <v>0.001</v>
      </c>
      <c r="M775" s="2">
        <f>(M776*L775)</f>
        <v>1</v>
      </c>
    </row>
    <row r="776">
      <c r="D776" s="4">
        <f>SUM(D762:D775)</f>
        <v>1</v>
      </c>
      <c r="E776" s="2">
        <v>1000</v>
      </c>
      <c r="L776" s="4">
        <f>SUM(L762:L775)</f>
        <v>1</v>
      </c>
      <c r="M776" s="2">
        <v>1000</v>
      </c>
    </row>
    <row r="777">
      <c r="E777" s="2">
        <f>SUM(E762:E775)</f>
        <v>1000</v>
      </c>
      <c r="M777" s="2">
        <f>SUM(M762:M775)</f>
        <v>1000</v>
      </c>
    </row>
    <row r="784">
      <c r="A784" t="str">
        <v xml:space="preserve">            07.12.2023-051     Fresco INTUMESCENT</v>
      </c>
      <c r="I784" t="str">
        <v xml:space="preserve">            07.12.2023-052     Fresco INTUMESCENT</v>
      </c>
    </row>
    <row r="785">
      <c r="A785" t="str">
        <v xml:space="preserve">   על בסיס 044 043    Levasil CC401      3%   ENCOR 2394</v>
      </c>
      <c r="I785" t="str">
        <v xml:space="preserve">   על בסיס 044 043      Levasil CC401 1%     ENCOR 2394</v>
      </c>
    </row>
    <row r="786">
      <c r="A786" t="str">
        <v>הוראות יצור</v>
      </c>
      <c r="B786" t="str">
        <v>שעה - הערות</v>
      </c>
      <c r="D786" t="str">
        <v>חומר</v>
      </c>
      <c r="E786" t="str">
        <v>כמות ק''ג</v>
      </c>
      <c r="I786" t="str">
        <v>הוראות יצור</v>
      </c>
      <c r="J786" t="str">
        <v>שעה - הערות</v>
      </c>
      <c r="L786" t="str">
        <v>חומר</v>
      </c>
      <c r="M786" t="str">
        <v>כמות ק''ג</v>
      </c>
    </row>
    <row r="787">
      <c r="A787" t="str">
        <v>הכנס חומרים לאט ופזר היטב. הפעל 5 דקות דספרסיה בין הכנסת כל חומר. וודא שאין קצף לפני המעבר לשלב הבא. עבוד במהירות בF10</v>
      </c>
      <c r="C787" t="str">
        <v>water</v>
      </c>
      <c r="D787" s="1">
        <v>0.1256</v>
      </c>
      <c r="E787" s="2">
        <f>(E802*D787)</f>
        <v>125.6</v>
      </c>
      <c r="I787" t="str">
        <v>הכנס חומרים לאט ופזר היטב. הפעל 5 דקות דספרסיה בין הכנסת כל חומר. וודא שאין קצף לפני המעבר לשלב הבא. עבוד במהירות בF10</v>
      </c>
      <c r="K787" t="str">
        <v>water</v>
      </c>
      <c r="L787" s="1">
        <v>0.1456</v>
      </c>
      <c r="M787" s="2">
        <f>(M802*L787)</f>
        <v>145.6</v>
      </c>
    </row>
    <row r="788">
      <c r="C788" t="str">
        <v>Levasil CC401</v>
      </c>
      <c r="D788" s="1">
        <v>0.03</v>
      </c>
      <c r="E788" s="2">
        <f>(E802*D788)</f>
        <v>30</v>
      </c>
      <c r="K788" t="str">
        <v>Levasil CC401</v>
      </c>
      <c r="L788" s="1">
        <v>0.01</v>
      </c>
      <c r="M788" s="2">
        <f>(M802*L788)</f>
        <v>10</v>
      </c>
    </row>
    <row r="789">
      <c r="C789" t="str">
        <v>OROTAN 731</v>
      </c>
      <c r="D789" s="4">
        <v>0.0016</v>
      </c>
      <c r="E789" s="2">
        <f>(E802*D789)</f>
        <v>1.6</v>
      </c>
      <c r="K789" t="str">
        <v>OROTAN 731</v>
      </c>
      <c r="L789" s="4">
        <v>0.0016</v>
      </c>
      <c r="M789" s="2">
        <f>(M802*L789)</f>
        <v>1.6</v>
      </c>
    </row>
    <row r="790">
      <c r="C790" t="str">
        <v>AGITAN 80</v>
      </c>
      <c r="D790" s="4">
        <v>0.001</v>
      </c>
      <c r="E790" s="2">
        <f>(E802*D790)</f>
        <v>1</v>
      </c>
      <c r="K790" t="str">
        <v>AGITAN 80</v>
      </c>
      <c r="L790" s="4">
        <v>0.001</v>
      </c>
      <c r="M790" s="2">
        <f>(M802*L790)</f>
        <v>1</v>
      </c>
    </row>
    <row r="791">
      <c r="C791" t="str">
        <v>Biocide CMIF</v>
      </c>
      <c r="D791" s="1">
        <v>0.002</v>
      </c>
      <c r="E791" s="2">
        <f>(E802*D791)</f>
        <v>2</v>
      </c>
      <c r="K791" t="str">
        <v>Biocide CMIF</v>
      </c>
      <c r="L791" s="1">
        <v>0.002</v>
      </c>
      <c r="M791" s="2">
        <f>(M802*L791)</f>
        <v>2</v>
      </c>
    </row>
    <row r="792">
      <c r="C792" t="str">
        <v>COMBIZELL</v>
      </c>
      <c r="D792" s="1">
        <v>0.0016</v>
      </c>
      <c r="E792" s="2">
        <f>(E802*D792)</f>
        <v>1.6</v>
      </c>
      <c r="K792" t="str">
        <v>COMBIZELL</v>
      </c>
      <c r="L792" s="1">
        <v>0.0016</v>
      </c>
      <c r="M792" s="2">
        <f>(M802*L792)</f>
        <v>1.6</v>
      </c>
    </row>
    <row r="793">
      <c r="C793" t="str">
        <v>AGITAN 80</v>
      </c>
      <c r="D793" s="1">
        <v>0.001</v>
      </c>
      <c r="E793" s="2">
        <f>(E802*D793)</f>
        <v>1</v>
      </c>
      <c r="K793" t="str">
        <v>AGITAN 80</v>
      </c>
      <c r="L793" s="1">
        <v>0.001</v>
      </c>
      <c r="M793" s="2">
        <f>(M802*L793)</f>
        <v>1</v>
      </c>
    </row>
    <row r="794">
      <c r="A794" t="str">
        <v>הכנס ללא גושים ובסיום דספרסיה 5 דקות  בF 13</v>
      </c>
      <c r="C794" t="str">
        <v>TIONA 826</v>
      </c>
      <c r="D794" s="1">
        <v>0.12</v>
      </c>
      <c r="E794" s="2">
        <f>(E802*D794)</f>
        <v>120</v>
      </c>
      <c r="I794" t="str">
        <v>הכנס ללא גושים ובסיום דספרסיה 5 דקות  בF 13</v>
      </c>
      <c r="K794" t="str">
        <v>TIONA 826</v>
      </c>
      <c r="L794" s="1">
        <v>0.12</v>
      </c>
      <c r="M794" s="2">
        <f>(M802*L794)</f>
        <v>120</v>
      </c>
    </row>
    <row r="795">
      <c r="A795" t="str">
        <v>הכנס ללא גושים ובסיום דספרסיה 5 דקות  בF 15</v>
      </c>
      <c r="C795" t="str">
        <v xml:space="preserve"> CHARMOR PM 40</v>
      </c>
      <c r="D795" s="1">
        <v>0.1</v>
      </c>
      <c r="E795" s="2">
        <f>(E802*D795)</f>
        <v>100</v>
      </c>
      <c r="I795" t="str">
        <v>הכנס ללא גושים ובסיום דספרסיה 5 דקות  בF 15</v>
      </c>
      <c r="K795" t="str">
        <v xml:space="preserve"> CHARMOR PM 40</v>
      </c>
      <c r="L795" s="1">
        <v>0.1</v>
      </c>
      <c r="M795" s="2">
        <f>(M802*L795)</f>
        <v>100</v>
      </c>
    </row>
    <row r="796">
      <c r="A796" t="str">
        <v>הכנס ללא גושים ובסיום דספרסיה 5 דקות  בF 18</v>
      </c>
      <c r="C796" t="str">
        <v>MELAFINE</v>
      </c>
      <c r="D796" s="1">
        <v>0.1</v>
      </c>
      <c r="E796" s="2">
        <f>(E802*D796)</f>
        <v>100</v>
      </c>
      <c r="I796" t="str">
        <v>הכנס ללא גושים ובסיום דספרסיה 5 דקות  בF 18</v>
      </c>
      <c r="K796" t="str">
        <v>MELAFINE</v>
      </c>
      <c r="L796" s="1">
        <v>0.1</v>
      </c>
      <c r="M796" s="2">
        <f>(M802*L796)</f>
        <v>100</v>
      </c>
    </row>
    <row r="797">
      <c r="A797" t="str">
        <v>הכנס בזרם דק עד להומוגניות  בF 15</v>
      </c>
      <c r="C797" s="3" t="str">
        <v>Texanol</v>
      </c>
      <c r="D797" s="1">
        <v>0.0117</v>
      </c>
      <c r="E797" s="2">
        <f>(E802*D797)</f>
        <v>11.700000000000001</v>
      </c>
      <c r="I797" t="str">
        <v>הכנס בזרם דק עד להומוגניות  בF 15</v>
      </c>
      <c r="K797" s="3" t="str">
        <v>Texanol</v>
      </c>
      <c r="L797" s="1">
        <v>0.0117</v>
      </c>
      <c r="M797" s="2">
        <f>(M802*L797)</f>
        <v>11.700000000000001</v>
      </c>
    </row>
    <row r="798" ht="27.600000000000005" customHeight="1">
      <c r="A798" t="str">
        <v>הכנס ללא גושים  ב F18 עליה ל F21 ובסיום דספרסיה במשך 5 דקות . שים לב שלא יתחמם מידי</v>
      </c>
      <c r="C798" s="3" t="str">
        <v>EXOLIT AP435</v>
      </c>
      <c r="D798" s="1">
        <v>0.25</v>
      </c>
      <c r="E798" s="2">
        <f>(E802*D798)</f>
        <v>250</v>
      </c>
      <c r="I798" t="str">
        <v>הכנס ללא גושים  ב F18 עליה ל F21 ובסיום דספרסיה במשך 5 דקות . שים לב שלא יתחמם מידי</v>
      </c>
      <c r="K798" s="3" t="str">
        <v>EXOLIT AP435</v>
      </c>
      <c r="L798" s="1">
        <v>0.25</v>
      </c>
      <c r="M798" s="2">
        <f>(M802*L798)</f>
        <v>250</v>
      </c>
    </row>
    <row r="799">
      <c r="A799" t="str">
        <v>להכניס לאט ובהדרגה  לפוזור מלא ב12 F</v>
      </c>
      <c r="C799" s="3" t="str">
        <v>Lapinus CF 10</v>
      </c>
      <c r="D799" s="1">
        <v>0.03</v>
      </c>
      <c r="E799" s="2">
        <f>(E802*D799)</f>
        <v>30</v>
      </c>
      <c r="I799" t="str">
        <v>להכניס לאט ובהדרגה  לפוזור מלא ב12 F</v>
      </c>
      <c r="K799" s="3" t="str">
        <v>Lapinus CF 10</v>
      </c>
      <c r="L799" s="1">
        <v>0.03</v>
      </c>
      <c r="M799" s="2">
        <f>(M802*L799)</f>
        <v>30</v>
      </c>
    </row>
    <row r="800">
      <c r="A800" t="str">
        <v>הכנס בזרם דק עד להומוגניות  בF 12  לאחר מכן הכנס אגיטן ובסיום המשך 7 דקות ערבול</v>
      </c>
      <c r="C800" s="3" t="str">
        <v>ENCOR 2394</v>
      </c>
      <c r="D800" s="1">
        <v>0.225</v>
      </c>
      <c r="E800" s="2">
        <f>(E802*D800)</f>
        <v>225</v>
      </c>
      <c r="I800" t="str">
        <v>הכנס בזרם דק עד להומוגניות  בF 12  לאחר מכן הכנס אגיטן ובסיום המשך 7 דקות ערבול</v>
      </c>
      <c r="K800" s="3" t="str">
        <v>ENCOR 2394</v>
      </c>
      <c r="L800" s="1">
        <v>0.225</v>
      </c>
      <c r="M800" s="2">
        <f>(M802*L800)</f>
        <v>225</v>
      </c>
    </row>
    <row r="801">
      <c r="C801" s="3" t="str">
        <v>AGITAN 80</v>
      </c>
      <c r="D801" s="1">
        <v>0.0005</v>
      </c>
      <c r="E801" s="2">
        <f>(E802*D801)</f>
        <v>0.5</v>
      </c>
      <c r="K801" s="3" t="str">
        <v>AGITAN 80</v>
      </c>
      <c r="L801" s="1">
        <v>0.0005</v>
      </c>
      <c r="M801" s="2">
        <f>(M802*L801)</f>
        <v>0.5</v>
      </c>
    </row>
    <row r="802">
      <c r="D802" s="4">
        <f>SUM(D787:D801)</f>
        <v>0.9999999999999999</v>
      </c>
      <c r="E802" s="2">
        <v>1000</v>
      </c>
      <c r="L802" s="4">
        <f>SUM(L787:L801)</f>
        <v>0.9999999999999999</v>
      </c>
      <c r="M802" s="2">
        <v>1000</v>
      </c>
    </row>
    <row r="803">
      <c r="E803" s="2">
        <f>SUM(E787:E801)</f>
        <v>1000</v>
      </c>
      <c r="M803" s="2">
        <f>SUM(M787:M801)</f>
        <v>1000</v>
      </c>
    </row>
    <row r="808">
      <c r="A808" t="str">
        <v xml:space="preserve">            12.12.2023-053     Fresco INTUMESCENT</v>
      </c>
      <c r="I808" t="str">
        <v xml:space="preserve">            12.12.2023-054     Fresco INTUMESCENT</v>
      </c>
    </row>
    <row r="809">
      <c r="A809" t="str">
        <v xml:space="preserve">   על בסיס 044 043    Levasil CC401      3%    24.5%VINNAPAS EZ 3112 ללא טקסנול</v>
      </c>
      <c r="I809" t="str">
        <v xml:space="preserve">   על בסיס 044 043      Levasil CC401 1%      24.5 %VINNAPAS EZ 3112 ללא טקסנול</v>
      </c>
    </row>
    <row r="810">
      <c r="A810" t="str">
        <v>הוראות יצור</v>
      </c>
      <c r="B810" t="str">
        <v>שעה - הערות</v>
      </c>
      <c r="D810" t="str">
        <v>חומר</v>
      </c>
      <c r="E810" t="str">
        <v>כמות ק''ג</v>
      </c>
      <c r="I810" t="str">
        <v>הוראות יצור</v>
      </c>
      <c r="J810" t="str">
        <v>שעה - הערות</v>
      </c>
      <c r="L810" t="str">
        <v>חומר</v>
      </c>
      <c r="M810" t="str">
        <v>כמות ק''ג</v>
      </c>
    </row>
    <row r="811">
      <c r="A811" t="str">
        <v>הכנס חומרים לאט ופזר היטב. הפעל 5 דקות דספרסיה בין הכנסת כל חומר. וודא שאין קצף לפני המעבר לשלב הבא. עבוד במהירות בF10</v>
      </c>
      <c r="C811" t="str">
        <v>water</v>
      </c>
      <c r="D811" s="1">
        <v>0.1173</v>
      </c>
      <c r="E811" s="2">
        <f>(E826*D811)</f>
        <v>129.03</v>
      </c>
      <c r="I811" t="str">
        <v>הכנס חומרים לאט ופזר היטב. הפעל 5 דקות דספרסיה בין הכנסת כל חומר. וודא שאין קצף לפני המעבר לשלב הבא. עבוד במהירות בF10</v>
      </c>
      <c r="K811" t="str">
        <v>water</v>
      </c>
      <c r="L811" s="1">
        <v>0.1373</v>
      </c>
      <c r="M811" s="2">
        <f>(M826*L811)</f>
        <v>151.03</v>
      </c>
    </row>
    <row r="812">
      <c r="C812" t="str">
        <v>Levasil CC401</v>
      </c>
      <c r="D812" s="1">
        <v>0.03</v>
      </c>
      <c r="E812" s="2">
        <f>(E826*D812)</f>
        <v>33</v>
      </c>
      <c r="K812" t="str">
        <v>Levasil CC401</v>
      </c>
      <c r="L812" s="1">
        <v>0.01</v>
      </c>
      <c r="M812" s="2">
        <f>(M826*L812)</f>
        <v>11</v>
      </c>
    </row>
    <row r="813">
      <c r="C813" t="str">
        <v>OROTAN 731</v>
      </c>
      <c r="D813" s="4">
        <v>0.0016</v>
      </c>
      <c r="E813" s="2">
        <f>(E826*D813)</f>
        <v>1.76</v>
      </c>
      <c r="K813" t="str">
        <v>OROTAN 731</v>
      </c>
      <c r="L813" s="4">
        <v>0.0016</v>
      </c>
      <c r="M813" s="2">
        <f>(M826*L813)</f>
        <v>1.76</v>
      </c>
    </row>
    <row r="814">
      <c r="C814" t="str">
        <v>AGITAN 80</v>
      </c>
      <c r="D814" s="4">
        <v>0.001</v>
      </c>
      <c r="E814" s="2">
        <f>(E826*D814)</f>
        <v>1.1</v>
      </c>
      <c r="K814" t="str">
        <v>AGITAN 80</v>
      </c>
      <c r="L814" s="4">
        <v>0.001</v>
      </c>
      <c r="M814" s="2">
        <f>(M826*L814)</f>
        <v>1.1</v>
      </c>
    </row>
    <row r="815">
      <c r="C815" t="str">
        <v>Biocide CMIF</v>
      </c>
      <c r="D815" s="1">
        <v>0.0017</v>
      </c>
      <c r="E815" s="2">
        <f>(E826*D815)</f>
        <v>1.8699999999999999</v>
      </c>
      <c r="K815" t="str">
        <v>Biocide CMIF</v>
      </c>
      <c r="L815" s="1">
        <v>0.0017</v>
      </c>
      <c r="M815" s="2">
        <f>(M826*L815)</f>
        <v>1.8699999999999999</v>
      </c>
    </row>
    <row r="816">
      <c r="C816" t="str">
        <v>COMBIZELL</v>
      </c>
      <c r="D816" s="1">
        <v>0.0019</v>
      </c>
      <c r="E816" s="2">
        <f>(E826*D816)</f>
        <v>2.09</v>
      </c>
      <c r="K816" t="str">
        <v>COMBIZELL</v>
      </c>
      <c r="L816" s="1">
        <v>0.0019</v>
      </c>
      <c r="M816" s="2">
        <f>(M826*L816)</f>
        <v>2.09</v>
      </c>
    </row>
    <row r="817">
      <c r="C817" t="str">
        <v>AGITAN 80</v>
      </c>
      <c r="D817" s="1">
        <v>0.001</v>
      </c>
      <c r="E817" s="2">
        <f>(E826*D817)</f>
        <v>1.1</v>
      </c>
      <c r="K817" t="str">
        <v>AGITAN 80</v>
      </c>
      <c r="L817" s="1">
        <v>0.001</v>
      </c>
      <c r="M817" s="2">
        <f>(M826*L817)</f>
        <v>1.1</v>
      </c>
    </row>
    <row r="818">
      <c r="A818" t="str">
        <v>הכנס ללא גושים ובסיום דספרסיה 5 דקות  בF 13</v>
      </c>
      <c r="C818" t="str">
        <v>TIONA 826</v>
      </c>
      <c r="D818" s="1">
        <v>0.12</v>
      </c>
      <c r="E818" s="2">
        <f>(E826*D818)</f>
        <v>132</v>
      </c>
      <c r="I818" t="str">
        <v>הכנס ללא גושים ובסיום דספרסיה 5 דקות  בF 13</v>
      </c>
      <c r="K818" t="str">
        <v>TIONA 826</v>
      </c>
      <c r="L818" s="1">
        <v>0.12</v>
      </c>
      <c r="M818" s="2">
        <f>(M826*L818)</f>
        <v>132</v>
      </c>
    </row>
    <row r="819">
      <c r="A819" t="str">
        <v>הכנס ללא גושים ובסיום דספרסיה 5 דקות  בF 15</v>
      </c>
      <c r="C819" t="str">
        <v xml:space="preserve"> CHARMOR PM 40</v>
      </c>
      <c r="D819" s="1">
        <v>0.1</v>
      </c>
      <c r="E819" s="2">
        <f>(E826*D819)</f>
        <v>110</v>
      </c>
      <c r="I819" t="str">
        <v>הכנס ללא גושים ובסיום דספרסיה 5 דקות  בF 15</v>
      </c>
      <c r="K819" t="str">
        <v xml:space="preserve"> CHARMOR PM 40</v>
      </c>
      <c r="L819" s="1">
        <v>0.1</v>
      </c>
      <c r="M819" s="2">
        <f>(M826*L819)</f>
        <v>110</v>
      </c>
    </row>
    <row r="820">
      <c r="A820" t="str">
        <v>הכנס ללא גושים ובסיום דספרסיה 5 דקות  בF 18</v>
      </c>
      <c r="C820" t="str">
        <v>MELAFINE</v>
      </c>
      <c r="D820" s="1">
        <v>0.1</v>
      </c>
      <c r="E820" s="2">
        <f>(E826*D820)</f>
        <v>110</v>
      </c>
      <c r="I820" t="str">
        <v>הכנס ללא גושים ובסיום דספרסיה 5 דקות  בF 18</v>
      </c>
      <c r="K820" t="str">
        <v>MELAFINE</v>
      </c>
      <c r="L820" s="1">
        <v>0.1</v>
      </c>
      <c r="M820" s="2">
        <f>(M826*L820)</f>
        <v>110</v>
      </c>
    </row>
    <row r="821">
      <c r="A821" t="str">
        <v>הכנס בזרם דק עד להומוגניות  בF 15</v>
      </c>
      <c r="C821" s="3" t="str">
        <v>Texanol</v>
      </c>
      <c r="D821" s="1">
        <v>0</v>
      </c>
      <c r="E821" s="2">
        <f>(E826*D821)</f>
        <v>0</v>
      </c>
      <c r="I821" t="str">
        <v>הכנס בזרם דק עד להומוגניות  בF 15</v>
      </c>
      <c r="K821" s="3" t="str">
        <v>Texanol</v>
      </c>
      <c r="L821" s="1">
        <v>0</v>
      </c>
      <c r="M821" s="2">
        <f>(M826*L821)</f>
        <v>0</v>
      </c>
    </row>
    <row r="822" ht="27.600000000000005" customHeight="1">
      <c r="A822" t="str">
        <v>הכנס ללא גושים  ב F18 עליה ל F21 ובסיום דספרסיה במשך 5 דקות . שים לב שלא יתחמם מידי</v>
      </c>
      <c r="C822" s="3" t="str">
        <v>EXOLIT AP435</v>
      </c>
      <c r="D822" s="1">
        <v>0.25</v>
      </c>
      <c r="E822" s="2">
        <f>(E826*D822)</f>
        <v>275</v>
      </c>
      <c r="I822" t="str">
        <v>הכנס ללא גושים  ב F18 עליה ל F21 ובסיום דספרסיה במשך 5 דקות . שים לב שלא יתחמם מידי</v>
      </c>
      <c r="K822" s="3" t="str">
        <v>EXOLIT AP435</v>
      </c>
      <c r="L822" s="1">
        <v>0.25</v>
      </c>
      <c r="M822" s="2">
        <f>(M826*L822)</f>
        <v>275</v>
      </c>
    </row>
    <row r="823">
      <c r="A823" t="str">
        <v>להכניס לאט ובהדרגה  לפוזור מלא ב12 F</v>
      </c>
      <c r="C823" s="3" t="str">
        <v>Lapinus CF 10</v>
      </c>
      <c r="D823" s="1">
        <v>0.03</v>
      </c>
      <c r="E823" s="2">
        <f>(E826*D823)</f>
        <v>33</v>
      </c>
      <c r="I823" t="str">
        <v>להכניס לאט ובהדרגה  לפוזור מלא ב12 F</v>
      </c>
      <c r="K823" s="3" t="str">
        <v>Lapinus CF 10</v>
      </c>
      <c r="L823" s="1">
        <v>0.03</v>
      </c>
      <c r="M823" s="2">
        <f>(M826*L823)</f>
        <v>33</v>
      </c>
    </row>
    <row r="824">
      <c r="A824" t="str">
        <v>הכנס בזרם דק עד להומוגניות  בF 12  לאחר מכן הכנס אגיטן ובסיום המשך 7 דקות ערבול</v>
      </c>
      <c r="C824" s="3" t="str">
        <v>VINNAPAS EZ 3112</v>
      </c>
      <c r="D824" s="1">
        <v>0.245</v>
      </c>
      <c r="E824" s="2">
        <f>(E826*D824)</f>
        <v>269.5</v>
      </c>
      <c r="I824" t="str">
        <v>הכנס בזרם דק עד להומוגניות  בF 12  לאחר מכן הכנס אגיטן ובסיום המשך 7 דקות ערבול</v>
      </c>
      <c r="K824" s="3" t="str">
        <v>VINNAPAS EZ 3112</v>
      </c>
      <c r="L824" s="1">
        <v>0.245</v>
      </c>
      <c r="M824" s="2">
        <f>(M826*L824)</f>
        <v>269.5</v>
      </c>
    </row>
    <row r="825">
      <c r="C825" s="3" t="str">
        <v>AGITAN 80</v>
      </c>
      <c r="D825" s="1">
        <v>0.0005</v>
      </c>
      <c r="E825" s="2">
        <f>(E826*D825)</f>
        <v>0.55</v>
      </c>
      <c r="K825" s="3" t="str">
        <v>AGITAN 80</v>
      </c>
      <c r="L825" s="1">
        <v>0.0005</v>
      </c>
      <c r="M825" s="2">
        <f>(M826*L825)</f>
        <v>0.55</v>
      </c>
    </row>
    <row r="826">
      <c r="D826" s="4">
        <f>SUM(D811:D825)</f>
        <v>0.9999999999999999</v>
      </c>
      <c r="E826" s="2">
        <v>1100</v>
      </c>
      <c r="L826" s="4">
        <f>SUM(L811:L825)</f>
        <v>1</v>
      </c>
      <c r="M826" s="2">
        <v>1100</v>
      </c>
    </row>
    <row r="827">
      <c r="E827" s="2">
        <f>SUM(E811:E825)</f>
        <v>1100</v>
      </c>
      <c r="M827" s="2">
        <f>SUM(M811:M825)</f>
        <v>1100</v>
      </c>
    </row>
    <row r="831">
      <c r="A831" t="str">
        <v xml:space="preserve">            26.12.2023-055     Fresco INTUMESCENT</v>
      </c>
      <c r="I831" t="str">
        <v xml:space="preserve">            26.12.2023-056     Fresco INTUMESCENT</v>
      </c>
    </row>
    <row r="832">
      <c r="A832" t="str">
        <v xml:space="preserve">   על בסיס 044  043  051  Levasil CC401      3%   ENCOR 2394   עם FR CROS 487</v>
      </c>
      <c r="I832" t="str">
        <v xml:space="preserve">   על בסיס 044 043   052   Levasil CC401 1%     ENCOR 2394 עם FR CROS 487</v>
      </c>
    </row>
    <row r="833">
      <c r="A833" t="str">
        <v>הוראות יצור</v>
      </c>
      <c r="B833" t="str">
        <v>שעה - הערות</v>
      </c>
      <c r="D833" t="str">
        <v>חומר</v>
      </c>
      <c r="E833" t="str">
        <v>כמות ק''ג</v>
      </c>
      <c r="I833" t="str">
        <v>הוראות יצור</v>
      </c>
      <c r="J833" t="str">
        <v>שעה - הערות</v>
      </c>
      <c r="L833" t="str">
        <v>חומר</v>
      </c>
      <c r="M833" t="str">
        <v>כמות ק''ג</v>
      </c>
    </row>
    <row r="834">
      <c r="A834" t="str">
        <v>הכנס חומרים לאט ופזר היטב. הפעל 5 דקות דספרסיה בין הכנסת כל חומר. וודא שאין קצף לפני המעבר לשלב הבא. עבוד במהירות בF10</v>
      </c>
      <c r="C834" t="str">
        <v>water</v>
      </c>
      <c r="D834" s="1">
        <v>0.1256</v>
      </c>
      <c r="E834" s="2">
        <f>(E849*D834)</f>
        <v>125.6</v>
      </c>
      <c r="I834" t="str">
        <v>הכנס חומרים לאט ופזר היטב. הפעל 5 דקות דספרסיה בין הכנסת כל חומר. וודא שאין קצף לפני המעבר לשלב הבא. עבוד במהירות בF10</v>
      </c>
      <c r="K834" t="str">
        <v>water</v>
      </c>
      <c r="L834" s="1">
        <v>0.1456</v>
      </c>
      <c r="M834" s="2">
        <f>(M849*L834)</f>
        <v>582.4</v>
      </c>
    </row>
    <row r="835">
      <c r="C835" t="str">
        <v>Levasil CC401</v>
      </c>
      <c r="D835" s="1">
        <v>0.03</v>
      </c>
      <c r="E835" s="2">
        <f>(E849*D835)</f>
        <v>30</v>
      </c>
      <c r="K835" t="str">
        <v>Levasil CC401</v>
      </c>
      <c r="L835" s="1">
        <v>0.01</v>
      </c>
      <c r="M835" s="2">
        <f>(M849*L835)</f>
        <v>40</v>
      </c>
    </row>
    <row r="836">
      <c r="C836" t="str">
        <v>OROTAN 731</v>
      </c>
      <c r="D836" s="4">
        <v>0.0016</v>
      </c>
      <c r="E836" s="2">
        <f>(E849*D836)</f>
        <v>1.6</v>
      </c>
      <c r="K836" t="str">
        <v>OROTAN 731</v>
      </c>
      <c r="L836" s="4">
        <v>0.0016</v>
      </c>
      <c r="M836" s="2">
        <f>(M849*L836)</f>
        <v>6.4</v>
      </c>
    </row>
    <row r="837">
      <c r="C837" t="str">
        <v>AGITAN 80</v>
      </c>
      <c r="D837" s="4">
        <v>0.001</v>
      </c>
      <c r="E837" s="2">
        <f>(E849*D837)</f>
        <v>1</v>
      </c>
      <c r="K837" t="str">
        <v>AGITAN 80</v>
      </c>
      <c r="L837" s="4">
        <v>0.001</v>
      </c>
      <c r="M837" s="2">
        <f>(M849*L837)</f>
        <v>4</v>
      </c>
    </row>
    <row r="838">
      <c r="C838" t="str">
        <v>Biocide CMIF</v>
      </c>
      <c r="D838" s="1">
        <v>0.002</v>
      </c>
      <c r="E838" s="2">
        <f>(E849*D838)</f>
        <v>2</v>
      </c>
      <c r="K838" t="str">
        <v>Biocide CMIF</v>
      </c>
      <c r="L838" s="1">
        <v>0.002</v>
      </c>
      <c r="M838" s="2">
        <f>(M849*L838)</f>
        <v>8</v>
      </c>
    </row>
    <row r="839">
      <c r="C839" t="str">
        <v>COMBIZELL</v>
      </c>
      <c r="D839" s="1">
        <v>0.0016</v>
      </c>
      <c r="E839" s="2">
        <f>(E849*D839)</f>
        <v>1.6</v>
      </c>
      <c r="K839" t="str">
        <v>COMBIZELL</v>
      </c>
      <c r="L839" s="1">
        <v>0.0016</v>
      </c>
      <c r="M839" s="2">
        <f>(M849*L839)</f>
        <v>6.4</v>
      </c>
    </row>
    <row r="840">
      <c r="C840" t="str">
        <v>AGITAN 80</v>
      </c>
      <c r="D840" s="1">
        <v>0.001</v>
      </c>
      <c r="E840" s="2">
        <f>(E849*D840)</f>
        <v>1</v>
      </c>
      <c r="K840" t="str">
        <v>AGITAN 80</v>
      </c>
      <c r="L840" s="1">
        <v>0.001</v>
      </c>
      <c r="M840" s="2">
        <f>(M849*L840)</f>
        <v>4</v>
      </c>
    </row>
    <row r="841">
      <c r="A841" t="str">
        <v>הכנס ללא גושים ובסיום דספרסיה 5 דקות  בF 13</v>
      </c>
      <c r="C841" t="str">
        <v>TIONA 826</v>
      </c>
      <c r="D841" s="1">
        <v>0.12</v>
      </c>
      <c r="E841" s="2">
        <f>(E849*D841)</f>
        <v>120</v>
      </c>
      <c r="I841" t="str">
        <v>הכנס ללא גושים ובסיום דספרסיה 5 דקות  בF 13</v>
      </c>
      <c r="K841" t="str">
        <v>TIONA 826</v>
      </c>
      <c r="L841" s="1">
        <v>0.12</v>
      </c>
      <c r="M841" s="2">
        <f>(M849*L841)</f>
        <v>480</v>
      </c>
    </row>
    <row r="842">
      <c r="A842" t="str">
        <v>הכנס ללא גושים ובסיום דספרסיה 5 דקות  בF 15</v>
      </c>
      <c r="C842" t="str">
        <v xml:space="preserve"> CHARMOR PM 40</v>
      </c>
      <c r="D842" s="1">
        <v>0.1</v>
      </c>
      <c r="E842" s="2">
        <f>(E849*D842)</f>
        <v>100</v>
      </c>
      <c r="I842" t="str">
        <v>הכנס ללא גושים ובסיום דספרסיה 5 דקות  בF 15</v>
      </c>
      <c r="K842" t="str">
        <v xml:space="preserve"> CHARMOR PM 40</v>
      </c>
      <c r="L842" s="1">
        <v>0.1</v>
      </c>
      <c r="M842" s="2">
        <f>(M849*L842)</f>
        <v>400</v>
      </c>
    </row>
    <row r="843">
      <c r="A843" t="str">
        <v>הכנס ללא גושים ובסיום דספרסיה 5 דקות  בF 18</v>
      </c>
      <c r="C843" t="str">
        <v>MELAFINE</v>
      </c>
      <c r="D843" s="1">
        <v>0.1</v>
      </c>
      <c r="E843" s="2">
        <f>(E849*D843)</f>
        <v>100</v>
      </c>
      <c r="I843" t="str">
        <v>הכנס ללא גושים ובסיום דספרסיה 5 דקות  בF 18</v>
      </c>
      <c r="K843" t="str">
        <v>MELAFINE</v>
      </c>
      <c r="L843" s="1">
        <v>0.1</v>
      </c>
      <c r="M843" s="2">
        <f>(M849*L843)</f>
        <v>400</v>
      </c>
    </row>
    <row r="844">
      <c r="A844" t="str">
        <v>הכנס בזרם דק עד להומוגניות  בF 15</v>
      </c>
      <c r="C844" s="3" t="str">
        <v>Texanol</v>
      </c>
      <c r="D844" s="1">
        <v>0.0117</v>
      </c>
      <c r="E844" s="2">
        <f>(E849*D844)</f>
        <v>11.700000000000001</v>
      </c>
      <c r="I844" t="str">
        <v>הכנס בזרם דק עד להומוגניות  בF 15</v>
      </c>
      <c r="K844" s="3" t="str">
        <v>Texanol</v>
      </c>
      <c r="L844" s="1">
        <v>0.0117</v>
      </c>
      <c r="M844" s="2">
        <f>(M849*L844)</f>
        <v>46.800000000000004</v>
      </c>
    </row>
    <row r="845" ht="27.600000000000005" customHeight="1">
      <c r="A845" t="str">
        <v>הכנס ללא גושים  ב F18 עליה ל F21 ובסיום דספרסיה במשך 5 דקות . שים לב שלא יתחמם מידי</v>
      </c>
      <c r="C845" s="3" t="str">
        <v>FR CROS 487</v>
      </c>
      <c r="D845" s="1">
        <v>0.25</v>
      </c>
      <c r="E845" s="2">
        <f>(E849*D845)</f>
        <v>250</v>
      </c>
      <c r="I845" t="str">
        <v>הכנס ללא גושים  ב F18 עליה ל F21 ובסיום דספרסיה במשך 5 דקות . שים לב שלא יתחמם מידי</v>
      </c>
      <c r="K845" s="3" t="str">
        <v>FR CROS 487</v>
      </c>
      <c r="L845" s="1">
        <v>0.25</v>
      </c>
      <c r="M845" s="2">
        <f>(M849*L845)</f>
        <v>1000</v>
      </c>
    </row>
    <row r="846">
      <c r="A846" t="str">
        <v>להכניס לאט ובהדרגה  לפוזור מלא ב12 F</v>
      </c>
      <c r="C846" s="3" t="str">
        <v>Lapinus CF 10</v>
      </c>
      <c r="D846" s="1">
        <v>0.03</v>
      </c>
      <c r="E846" s="2">
        <f>(E849*D846)</f>
        <v>30</v>
      </c>
      <c r="I846" t="str">
        <v>להכניס לאט ובהדרגה  לפוזור מלא ב12 F</v>
      </c>
      <c r="K846" s="3" t="str">
        <v>Lapinus CF 10</v>
      </c>
      <c r="L846" s="1">
        <v>0.03</v>
      </c>
      <c r="M846" s="2">
        <f>(M849*L846)</f>
        <v>120</v>
      </c>
    </row>
    <row r="847">
      <c r="A847" t="str">
        <v>הכנס בזרם דק עד להומוגניות  בF 12  לאחר מכן הכנס אגיטן ובסיום המשך 7 דקות ערבול</v>
      </c>
      <c r="C847" s="3" t="str">
        <v>ENCOR 2394</v>
      </c>
      <c r="D847" s="1">
        <v>0.225</v>
      </c>
      <c r="E847" s="2">
        <f>(E849*D847)</f>
        <v>225</v>
      </c>
      <c r="I847" t="str">
        <v>הכנס בזרם דק עד להומוגניות  בF 12  לאחר מכן הכנס אגיטן ובסיום המשך 7 דקות ערבול</v>
      </c>
      <c r="K847" s="3" t="str">
        <v>ENCOR 2394</v>
      </c>
      <c r="L847" s="1">
        <v>0.225</v>
      </c>
      <c r="M847" s="2">
        <f>(M849*L847)</f>
        <v>900</v>
      </c>
    </row>
    <row r="848">
      <c r="C848" s="3" t="str">
        <v>AGITAN 80</v>
      </c>
      <c r="D848" s="1">
        <v>0.0005</v>
      </c>
      <c r="E848" s="2">
        <f>(E849*D848)</f>
        <v>0.5</v>
      </c>
      <c r="K848" s="3" t="str">
        <v>AGITAN 80</v>
      </c>
      <c r="L848" s="1">
        <v>0.0005</v>
      </c>
      <c r="M848" s="2">
        <f>(M849*L848)</f>
        <v>2</v>
      </c>
    </row>
    <row r="849">
      <c r="D849" s="4">
        <f>SUM(D834:D848)</f>
        <v>0.9999999999999999</v>
      </c>
      <c r="E849" s="2">
        <v>1000</v>
      </c>
      <c r="L849" s="4">
        <f>SUM(L834:L848)</f>
        <v>0.9999999999999999</v>
      </c>
      <c r="M849" s="2">
        <v>4000</v>
      </c>
    </row>
    <row r="850">
      <c r="E850" s="2">
        <f>SUM(E834:E848)</f>
        <v>1000</v>
      </c>
      <c r="M850" s="2">
        <f>SUM(M834:M848)</f>
        <v>4000</v>
      </c>
    </row>
    <row r="855">
      <c r="A855" t="str">
        <v xml:space="preserve">           26.12.2023-057     Fresco INTUMESCENT</v>
      </c>
      <c r="I855" t="str">
        <v xml:space="preserve">            26.12.2023-058   Fresco INTUMESCENT</v>
      </c>
    </row>
    <row r="856">
      <c r="A856" t="str">
        <v xml:space="preserve">   על בסיס 044 043  053   Levasil CC401      3%    24.5%VINNAPAS EZ 3019 ללא טקסנול עם FR CROS 487</v>
      </c>
      <c r="I856" t="str">
        <v xml:space="preserve">   על בסיס 044 043  054     Levasil CC401 1%      24.5 %VINNAPAS EZ 3019 ללא טקסנול</v>
      </c>
    </row>
    <row r="857">
      <c r="A857" t="str">
        <v>הוראות יצור</v>
      </c>
      <c r="B857" t="str">
        <v>שעה - הערות</v>
      </c>
      <c r="D857" t="str">
        <v>חומר</v>
      </c>
      <c r="E857" t="str">
        <v>כמות ק''ג</v>
      </c>
      <c r="I857" t="str">
        <v>הוראות יצור</v>
      </c>
      <c r="J857" t="str">
        <v>שעה - הערות</v>
      </c>
      <c r="L857" t="str">
        <v>חומר</v>
      </c>
      <c r="M857" t="str">
        <v>כמות ק''ג</v>
      </c>
    </row>
    <row r="858">
      <c r="A858" t="str">
        <v>הכנס חומרים לאט ופזר היטב. הפעל 5 דקות דספרסיה בין הכנסת כל חומר. וודא שאין קצף לפני המעבר לשלב הבא. עבוד במהירות בF10</v>
      </c>
      <c r="C858" t="str">
        <v>water</v>
      </c>
      <c r="D858" s="1">
        <v>0.1173</v>
      </c>
      <c r="E858" s="2">
        <f>(E873*D858)</f>
        <v>129.03</v>
      </c>
      <c r="I858" t="str">
        <v>הכנס חומרים לאט ופזר היטב. הפעל 5 דקות דספרסיה בין הכנסת כל חומר. וודא שאין קצף לפני המעבר לשלב הבא. עבוד במהירות בF10</v>
      </c>
      <c r="K858" t="str">
        <v>water</v>
      </c>
      <c r="L858" s="1">
        <v>0.1369</v>
      </c>
      <c r="M858" s="2">
        <f>(M873*L858)</f>
        <v>547.6</v>
      </c>
    </row>
    <row r="859">
      <c r="C859" t="str">
        <v>Levasil CC401</v>
      </c>
      <c r="D859" s="1">
        <v>0.03</v>
      </c>
      <c r="E859" s="2">
        <f>(E873*D859)</f>
        <v>33</v>
      </c>
      <c r="K859" t="str">
        <v>Levasil CC401</v>
      </c>
      <c r="L859" s="1">
        <v>0.01</v>
      </c>
      <c r="M859" s="2">
        <f>(M873*L859)</f>
        <v>40</v>
      </c>
    </row>
    <row r="860">
      <c r="C860" t="str">
        <v>OROTAN 731</v>
      </c>
      <c r="D860" s="4">
        <v>0.0016</v>
      </c>
      <c r="E860" s="2">
        <f>(E873*D860)</f>
        <v>1.76</v>
      </c>
      <c r="K860" t="str">
        <v>OROTAN 731</v>
      </c>
      <c r="L860" s="4">
        <v>0.0016</v>
      </c>
      <c r="M860" s="2">
        <f>(M873*L860)</f>
        <v>6.4</v>
      </c>
    </row>
    <row r="861">
      <c r="C861" t="str">
        <v>AGITAN 80</v>
      </c>
      <c r="D861" s="4">
        <v>0.001</v>
      </c>
      <c r="E861" s="2">
        <f>(E873*D861)</f>
        <v>1.1</v>
      </c>
      <c r="K861" t="str">
        <v>AGITAN 80</v>
      </c>
      <c r="L861" s="4">
        <v>0.001</v>
      </c>
      <c r="M861" s="2">
        <f>(M873*L861)</f>
        <v>4</v>
      </c>
    </row>
    <row r="862">
      <c r="C862" t="str">
        <v>Biocide CMIF</v>
      </c>
      <c r="D862" s="1">
        <v>0.0017</v>
      </c>
      <c r="E862" s="2">
        <f>(E873*D862)</f>
        <v>1.8699999999999999</v>
      </c>
      <c r="K862" t="str">
        <v>Biocide CMIF</v>
      </c>
      <c r="L862" s="1">
        <v>0.0017</v>
      </c>
      <c r="M862" s="2">
        <f>(M873*L862)</f>
        <v>6.8</v>
      </c>
    </row>
    <row r="863">
      <c r="C863" t="str">
        <v>COMBIZELL</v>
      </c>
      <c r="D863" s="1">
        <v>0.0019</v>
      </c>
      <c r="E863" s="2">
        <f>(E873*D863)</f>
        <v>2.09</v>
      </c>
      <c r="K863" t="str">
        <v>COMBIZELL</v>
      </c>
      <c r="L863" s="1">
        <v>0.0023</v>
      </c>
      <c r="M863" s="2">
        <f>(M873*L863)</f>
        <v>9.2</v>
      </c>
    </row>
    <row r="864">
      <c r="C864" t="str">
        <v>AGITAN 80</v>
      </c>
      <c r="D864" s="1">
        <v>0.001</v>
      </c>
      <c r="E864" s="2">
        <f>(E873*D864)</f>
        <v>1.1</v>
      </c>
      <c r="K864" t="str">
        <v>AGITAN 80</v>
      </c>
      <c r="L864" s="1">
        <v>0.001</v>
      </c>
      <c r="M864" s="2">
        <f>(M873*L864)</f>
        <v>4</v>
      </c>
    </row>
    <row r="865">
      <c r="A865" t="str">
        <v>הכנס ללא גושים ובסיום דספרסיה 5 דקות  בF 13</v>
      </c>
      <c r="C865" t="str">
        <v>TIONA 826</v>
      </c>
      <c r="D865" s="1">
        <v>0.12</v>
      </c>
      <c r="E865" s="2">
        <f>(E873*D865)</f>
        <v>132</v>
      </c>
      <c r="I865" t="str">
        <v>הכנס ללא גושים ובסיום דספרסיה 5 דקות  בF 13</v>
      </c>
      <c r="K865" t="str">
        <v>TIONA 826</v>
      </c>
      <c r="L865" s="1">
        <v>0.12</v>
      </c>
      <c r="M865" s="2">
        <f>(M873*L865)</f>
        <v>480</v>
      </c>
    </row>
    <row r="866">
      <c r="A866" t="str">
        <v>הכנס ללא גושים ובסיום דספרסיה 5 דקות  בF 15</v>
      </c>
      <c r="C866" t="str">
        <v xml:space="preserve"> CHARMOR PM 40</v>
      </c>
      <c r="D866" s="1">
        <v>0.1</v>
      </c>
      <c r="E866" s="2">
        <f>(E873*D866)</f>
        <v>110</v>
      </c>
      <c r="I866" t="str">
        <v>הכנס ללא גושים ובסיום דספרסיה 5 דקות  בF 15</v>
      </c>
      <c r="K866" t="str">
        <v xml:space="preserve"> CHARMOR PM 40</v>
      </c>
      <c r="L866" s="1">
        <v>0.1</v>
      </c>
      <c r="M866" s="2">
        <f>(M873*L866)</f>
        <v>400</v>
      </c>
    </row>
    <row r="867">
      <c r="A867" t="str">
        <v>הכנס ללא גושים ובסיום דספרסיה 5 דקות  בF 18</v>
      </c>
      <c r="C867" t="str">
        <v>MELAFINE</v>
      </c>
      <c r="D867" s="1">
        <v>0.1</v>
      </c>
      <c r="E867" s="2">
        <f>(E873*D867)</f>
        <v>110</v>
      </c>
      <c r="I867" t="str">
        <v>הכנס ללא גושים ובסיום דספרסיה 5 דקות  בF 18</v>
      </c>
      <c r="K867" t="str">
        <v>MELAFINE</v>
      </c>
      <c r="L867" s="1">
        <v>0.1</v>
      </c>
      <c r="M867" s="2">
        <f>(M873*L867)</f>
        <v>400</v>
      </c>
    </row>
    <row r="868">
      <c r="A868" t="str">
        <v>הכנס בזרם דק עד להומוגניות  בF 15</v>
      </c>
      <c r="C868" s="3" t="str">
        <v>Texanol</v>
      </c>
      <c r="D868" s="1">
        <v>0</v>
      </c>
      <c r="E868" s="2">
        <f>(E873*D868)</f>
        <v>0</v>
      </c>
      <c r="I868" t="str">
        <v>הכנס בזרם דק עד להומוגניות  בF 15</v>
      </c>
      <c r="K868" s="3" t="str">
        <v>Texanol</v>
      </c>
      <c r="L868" s="1">
        <v>0</v>
      </c>
      <c r="M868" s="2">
        <f>(M873*L868)</f>
        <v>0</v>
      </c>
    </row>
    <row r="869" ht="27.600000000000005" customHeight="1">
      <c r="A869" t="str">
        <v>הכנס ללא גושים  ב F18 עליה ל F21 ובסיום דספרסיה במשך 5 דקות . שים לב שלא יתחמם מידי</v>
      </c>
      <c r="C869" s="3" t="str">
        <v>FR CROS 487</v>
      </c>
      <c r="D869" s="1">
        <v>0.25</v>
      </c>
      <c r="E869" s="2">
        <f>(E873*D869)</f>
        <v>275</v>
      </c>
      <c r="I869" t="str">
        <v>הכנס ללא גושים  ב F18 עליה ל F21 ובסיום דספרסיה במשך 5 דקות . שים לב שלא יתחמם מידי</v>
      </c>
      <c r="K869" s="3" t="str">
        <v>FR CROS 487</v>
      </c>
      <c r="L869" s="1">
        <v>0.25</v>
      </c>
      <c r="M869" s="2">
        <f>(M873*L869)</f>
        <v>1000</v>
      </c>
    </row>
    <row r="870">
      <c r="A870" t="str">
        <v>להכניס לאט ובהדרגה  לפוזור מלא ב12 F</v>
      </c>
      <c r="C870" s="3" t="str">
        <v>Lapinus CF 10</v>
      </c>
      <c r="D870" s="1">
        <v>0.03</v>
      </c>
      <c r="E870" s="2">
        <f>(E873*D870)</f>
        <v>33</v>
      </c>
      <c r="I870" t="str">
        <v>להכניס לאט ובהדרגה  לפוזור מלא ב12 F</v>
      </c>
      <c r="K870" s="3" t="str">
        <v>Lapinus CF 10</v>
      </c>
      <c r="L870" s="1">
        <v>0.03</v>
      </c>
      <c r="M870" s="2">
        <f>(M873*L870)</f>
        <v>120</v>
      </c>
    </row>
    <row r="871">
      <c r="A871" t="str">
        <v>הכנס בזרם דק עד להומוגניות  בF 12  לאחר מכן הכנס אגיטן ובסיום המשך 7 דקות ערבול</v>
      </c>
      <c r="C871" s="3" t="str">
        <v>VINNAPAS EZ 3019</v>
      </c>
      <c r="D871" s="1">
        <v>0.245</v>
      </c>
      <c r="E871" s="2">
        <f>(E873*D871)</f>
        <v>269.5</v>
      </c>
      <c r="I871" t="str">
        <v>הכנס בזרם דק עד להומוגניות  בF 12  לאחר מכן הכנס אגיטן ובסיום המשך 7 דקות ערבול</v>
      </c>
      <c r="K871" s="3" t="str">
        <v>VINNAPAS EZ 3019</v>
      </c>
      <c r="L871" s="1">
        <v>0.245</v>
      </c>
      <c r="M871" s="2">
        <f>(M873*L871)</f>
        <v>980</v>
      </c>
    </row>
    <row r="872">
      <c r="C872" s="3" t="str">
        <v>AGITAN 80</v>
      </c>
      <c r="D872" s="1">
        <v>0.0005</v>
      </c>
      <c r="E872" s="2">
        <f>(E873*D872)</f>
        <v>0.55</v>
      </c>
      <c r="K872" s="3" t="str">
        <v>AGITAN 80</v>
      </c>
      <c r="L872" s="1">
        <v>0.0005</v>
      </c>
      <c r="M872" s="2">
        <f>(M873*L872)</f>
        <v>2</v>
      </c>
    </row>
    <row r="873">
      <c r="D873" s="4">
        <f>SUM(D858:D872)</f>
        <v>0.9999999999999999</v>
      </c>
      <c r="E873" s="2">
        <v>1100</v>
      </c>
      <c r="L873" s="4">
        <f>SUM(L858:L872)</f>
        <v>0.9999999999999999</v>
      </c>
      <c r="M873" s="2">
        <v>4000</v>
      </c>
    </row>
    <row r="874">
      <c r="E874" s="2">
        <f>SUM(E858:E872)</f>
        <v>1100</v>
      </c>
      <c r="M874" s="2">
        <f>SUM(M858:M872)</f>
        <v>4000</v>
      </c>
    </row>
    <row r="879">
      <c r="A879" t="str">
        <v xml:space="preserve">         28.12.2023-059    Fresco INTUMESCENT</v>
      </c>
      <c r="I879" t="str">
        <v xml:space="preserve">         28.12.2023-060    Fresco INTUMESCENT</v>
      </c>
    </row>
    <row r="880">
      <c r="A880" t="str">
        <v>על פי 036 - (FR CROS 487 +ENCOR 2394)  4% CF10,</v>
      </c>
      <c r="I880" t="str">
        <v>על פי 036 - (FR CROS 487 +ENCOR 2394) החלפת טקסנול ל  Enhancer 400</v>
      </c>
    </row>
    <row r="881">
      <c r="A881" t="str">
        <v>הוראות יצור</v>
      </c>
      <c r="B881" t="str">
        <v>שעה - הערות</v>
      </c>
      <c r="D881" t="str">
        <v>חומר</v>
      </c>
      <c r="E881" t="str">
        <v>כמות ק''ג</v>
      </c>
      <c r="I881" t="str">
        <v>הוראות יצור</v>
      </c>
      <c r="J881" t="str">
        <v>שעה - הערות</v>
      </c>
      <c r="L881" t="str">
        <v>חומר</v>
      </c>
      <c r="M881" t="str">
        <v>כמות ק''ג</v>
      </c>
    </row>
    <row r="882">
      <c r="A882" t="str">
        <v>הכנס חומרים לאט ופזר היטב. הפעל 5 דקות דספרסיה בין הכנסת כל חומר. וודא שאין קצף לפני המעבר לשלב הבא. עבוד במהירות בF10</v>
      </c>
      <c r="C882" t="str">
        <v>water</v>
      </c>
      <c r="D882" s="1">
        <v>0.165</v>
      </c>
      <c r="E882" s="2">
        <f>(E$634*D882)</f>
        <v>165</v>
      </c>
      <c r="I882" t="str">
        <v>הכנס חומרים לאט ופזר היטב. הפעל 5 דקות דספרסיה בין הכנסת כל חומר. וודא שאין קצף לפני המעבר לשלב הבא. עבוד במהירות בF10</v>
      </c>
      <c r="K882" t="str">
        <v>water</v>
      </c>
      <c r="L882" s="1">
        <v>0.175</v>
      </c>
      <c r="M882" s="2">
        <f>(M$634*L882)</f>
        <v>175</v>
      </c>
    </row>
    <row r="883">
      <c r="C883" t="str">
        <v>OROTAN 731</v>
      </c>
      <c r="D883" s="4">
        <v>0.0016</v>
      </c>
      <c r="E883" s="2">
        <f>(E$634*D883)</f>
        <v>1.6</v>
      </c>
      <c r="K883" t="str">
        <v>OROTAN 731</v>
      </c>
      <c r="L883" s="4">
        <v>0.0016</v>
      </c>
      <c r="M883" s="2">
        <f>(M$634*L883)</f>
        <v>1.6</v>
      </c>
    </row>
    <row r="884">
      <c r="C884" t="str">
        <v>AGITAN 80</v>
      </c>
      <c r="D884" s="4">
        <v>0.001</v>
      </c>
      <c r="E884" s="2">
        <f>(E$634*D884)</f>
        <v>1</v>
      </c>
      <c r="K884" t="str">
        <v>AGITAN 80</v>
      </c>
      <c r="L884" s="4">
        <v>0.001</v>
      </c>
      <c r="M884" s="2">
        <f>(M$634*L884)</f>
        <v>1</v>
      </c>
    </row>
    <row r="885">
      <c r="C885" t="str">
        <v>Biocide CMIF</v>
      </c>
      <c r="D885" s="1">
        <v>0.002</v>
      </c>
      <c r="E885" s="2">
        <f>(E$634*D885)</f>
        <v>2</v>
      </c>
      <c r="K885" t="str">
        <v>Biocide CMIF</v>
      </c>
      <c r="L885" s="1">
        <v>0.002</v>
      </c>
      <c r="M885" s="2">
        <f>(M$634*L885)</f>
        <v>2</v>
      </c>
    </row>
    <row r="886">
      <c r="C886" t="str">
        <v>COMBIZELL</v>
      </c>
      <c r="D886" s="1">
        <v>0.0017</v>
      </c>
      <c r="E886" s="2">
        <f>(E$634*D886)</f>
        <v>1.7</v>
      </c>
      <c r="K886" t="str">
        <v>COMBIZELL</v>
      </c>
      <c r="L886" s="1">
        <v>0.0017</v>
      </c>
      <c r="M886" s="2">
        <f>(M$634*L886)</f>
        <v>1.7</v>
      </c>
    </row>
    <row r="887">
      <c r="C887" t="str">
        <v>AGITAN 80</v>
      </c>
      <c r="D887" s="1">
        <v>0.001</v>
      </c>
      <c r="E887" s="2">
        <f>(E$634*D887)</f>
        <v>1</v>
      </c>
      <c r="K887" t="str">
        <v>AGITAN 80</v>
      </c>
      <c r="L887" s="1">
        <v>0.001</v>
      </c>
      <c r="M887" s="2">
        <f>(M$634*L887)</f>
        <v>1</v>
      </c>
    </row>
    <row r="888">
      <c r="A888" t="str">
        <v>הכנס ללא גושים ובסיום דספרסיה 5 דקות  בF 13</v>
      </c>
      <c r="C888" t="str">
        <v>TIONA 826</v>
      </c>
      <c r="D888" s="1">
        <v>0.12</v>
      </c>
      <c r="E888" s="2">
        <f>(E$634*D888)</f>
        <v>120</v>
      </c>
      <c r="I888" t="str">
        <v>הכנס ללא גושים ובסיום דספרסיה 5 דקות  בF 13</v>
      </c>
      <c r="K888" t="str">
        <v>TIONA 826</v>
      </c>
      <c r="L888" s="1">
        <v>0.12</v>
      </c>
      <c r="M888" s="2">
        <f>(M$634*L888)</f>
        <v>120</v>
      </c>
    </row>
    <row r="889">
      <c r="A889" t="str">
        <v>הכנס ללא גושים ובסיום דספרסיה 5 דקות  בF 15</v>
      </c>
      <c r="C889" t="str">
        <v xml:space="preserve"> CHARMOR PM 40</v>
      </c>
      <c r="D889" s="1">
        <v>0.09</v>
      </c>
      <c r="E889" s="2">
        <f>(E$634*D889)</f>
        <v>90</v>
      </c>
      <c r="I889" t="str">
        <v>הכנס ללא גושים ובסיום דספרסיה 5 דקות  בF 15</v>
      </c>
      <c r="K889" t="str">
        <v xml:space="preserve"> CHARMOR DP 15</v>
      </c>
      <c r="L889" s="1">
        <v>0.09</v>
      </c>
      <c r="M889" s="2">
        <f>(M$634*L889)</f>
        <v>90</v>
      </c>
    </row>
    <row r="890">
      <c r="A890" t="str">
        <v>הכנס ללא גושים ובסיום דספרסיה 5 דקות  בF 18</v>
      </c>
      <c r="C890" t="str">
        <v>MELAFINE</v>
      </c>
      <c r="D890" s="1">
        <v>0.09</v>
      </c>
      <c r="E890" s="2">
        <f>(E$634*D890)</f>
        <v>90</v>
      </c>
      <c r="I890" t="str">
        <v>הכנס ללא גושים ובסיום דספרסיה 5 דקות  בF 18</v>
      </c>
      <c r="K890" t="str">
        <v>MELAFINE</v>
      </c>
      <c r="L890" s="1">
        <v>0.09</v>
      </c>
      <c r="M890" s="2">
        <f>(M$634*L890)</f>
        <v>90</v>
      </c>
    </row>
    <row r="891">
      <c r="A891" t="str">
        <v>הכנס בזרם דק עד להומוגניות  בF 15</v>
      </c>
      <c r="C891" s="3" t="str">
        <v>Texanol</v>
      </c>
      <c r="D891" s="1">
        <v>0.0117</v>
      </c>
      <c r="E891" s="2">
        <f>(E$634*D891)</f>
        <v>11.700000000000001</v>
      </c>
      <c r="I891" t="str">
        <v>הכנס בזרם דק עד להומוגניות  בF 15</v>
      </c>
      <c r="K891" s="3" t="str">
        <v>Enhancer 400</v>
      </c>
      <c r="L891" s="1">
        <v>0.0117</v>
      </c>
      <c r="M891" s="2">
        <f>(M$634*L891)</f>
        <v>11.700000000000001</v>
      </c>
    </row>
    <row r="892" ht="27.600000000000005" customHeight="1">
      <c r="A892" t="str">
        <v>הכנס ללא גושים  ב F18 עליה ל F21 ובסיום דספרסיה במשך 5 דקות . שים לב שלא יתחמם מידי</v>
      </c>
      <c r="C892" s="3" t="str">
        <v>FR CROS 487</v>
      </c>
      <c r="D892" s="1">
        <v>0.25</v>
      </c>
      <c r="E892" s="2">
        <f>(E$634*D892)</f>
        <v>250</v>
      </c>
      <c r="I892" t="str">
        <v>הכנס ללא גושים  ב F18 עליה ל F21 ובסיום דספרסיה במשך 5 דקות . שים לב שלא יתחמם מידי</v>
      </c>
      <c r="K892" s="3" t="str">
        <v>FR CROS 487</v>
      </c>
      <c r="L892" s="1">
        <v>0.25</v>
      </c>
      <c r="M892" s="2">
        <f>(M$634*L892)</f>
        <v>250</v>
      </c>
    </row>
    <row r="893">
      <c r="A893" t="str">
        <v>להכניס לאט ובהדרגה  לפוזור מלא ב12 F</v>
      </c>
      <c r="C893" s="3" t="str">
        <v>Lapinus CF 10</v>
      </c>
      <c r="D893" s="1">
        <v>0.04</v>
      </c>
      <c r="E893" s="2">
        <f>(E$634*D893)</f>
        <v>40</v>
      </c>
      <c r="I893" t="str">
        <v>להכניס לאט ובהדרגה  לפוזור מלא ב12 F</v>
      </c>
      <c r="K893" s="3" t="str">
        <v>Lapinus CF 10</v>
      </c>
      <c r="L893" s="1">
        <v>0.03</v>
      </c>
      <c r="M893" s="2">
        <f>(M$634*L893)</f>
        <v>30</v>
      </c>
    </row>
    <row r="894">
      <c r="A894" t="str">
        <v>הכנס בזרם דק עד להומוגניות  בF 12</v>
      </c>
      <c r="C894" s="3" t="str">
        <v>ENCOR 2394</v>
      </c>
      <c r="D894" s="1">
        <v>0.225</v>
      </c>
      <c r="E894" s="2">
        <f>(E$634*D894)</f>
        <v>225</v>
      </c>
      <c r="I894" t="str">
        <v>הכנס בזרם דק עד להומוגניות  בF 12</v>
      </c>
      <c r="K894" s="3" t="str">
        <v>ENCOR 2394</v>
      </c>
      <c r="L894" s="1">
        <v>0.225</v>
      </c>
      <c r="M894" s="2">
        <f>(M$634*L894)</f>
        <v>225</v>
      </c>
    </row>
    <row r="895">
      <c r="A895" t="str">
        <v>יש להכניס תוך ערבוב ולהמשיך ערבוב איטי כ5 דקות</v>
      </c>
      <c r="C895" s="3" t="str">
        <v>AGITAN 80</v>
      </c>
      <c r="D895" s="1">
        <v>0.001</v>
      </c>
      <c r="E895" s="2">
        <f>(E$634*D895)</f>
        <v>1</v>
      </c>
      <c r="I895" t="str">
        <v>יש להכניס תוך ערבוב ולהמשיך ערבוב איטי כ5 דקות</v>
      </c>
      <c r="K895" s="3" t="str">
        <v>AGITAN 80</v>
      </c>
      <c r="L895" s="1">
        <v>0.001</v>
      </c>
      <c r="M895" s="2">
        <f>(M$634*L895)</f>
        <v>1</v>
      </c>
    </row>
    <row r="896">
      <c r="D896" s="4">
        <f>SUM(D882:D895)</f>
        <v>1</v>
      </c>
      <c r="E896" s="2">
        <v>1000</v>
      </c>
      <c r="L896" s="4">
        <f>SUM(L882:L895)</f>
        <v>1</v>
      </c>
      <c r="M896" s="2">
        <v>1000</v>
      </c>
    </row>
    <row r="897">
      <c r="E897" s="2">
        <f>SUM(E882:E895)</f>
        <v>1000</v>
      </c>
      <c r="M897" s="2">
        <f>SUM(M882:M895)</f>
        <v>1000</v>
      </c>
    </row>
    <row r="902">
      <c r="A902" t="str">
        <v xml:space="preserve">         28.12.2023-061    Fresco INTUMESCENT</v>
      </c>
    </row>
    <row r="903">
      <c r="A903" t="str">
        <v>על פי 036  043 - (EXOLIT AP435 +ENCOR 2394)  4% CF10,</v>
      </c>
      <c r="I903" t="str">
        <v xml:space="preserve">         28.12.2023-062    Fresco INTUMESCENT</v>
      </c>
    </row>
    <row r="904">
      <c r="A904" t="str">
        <v>הוראות יצור</v>
      </c>
      <c r="B904" t="str">
        <v>שעה - הערות</v>
      </c>
      <c r="D904" t="str">
        <v>חומר</v>
      </c>
      <c r="E904" t="str">
        <v>כמות ק''ג</v>
      </c>
      <c r="I904" t="str">
        <v>על פי 036   043- (EXOLIT AP435 +ENCOR 2394) החלפת טקסנול ל  Enhancer 400</v>
      </c>
    </row>
    <row r="905">
      <c r="A905" t="str">
        <v>הכנס חומרים לאט ופזר היטב. הפעל 5 דקות דספרסיה בין הכנסת כל חומר. וודא שאין קצף לפני המעבר לשלב הבא. עבוד במהירות בF10</v>
      </c>
      <c r="C905" t="str">
        <v>water</v>
      </c>
      <c r="D905" s="1">
        <v>0.165</v>
      </c>
      <c r="E905" s="2">
        <f>(E$634*D905)</f>
        <v>165</v>
      </c>
      <c r="I905" t="str">
        <v>הוראות יצור</v>
      </c>
      <c r="J905" t="str">
        <v>שעה - הערות</v>
      </c>
      <c r="L905" t="str">
        <v>חומר</v>
      </c>
      <c r="M905" t="str">
        <v>כמות ק''ג</v>
      </c>
    </row>
    <row r="906">
      <c r="C906" t="str">
        <v>OROTAN 731</v>
      </c>
      <c r="D906" s="4">
        <v>0.0016</v>
      </c>
      <c r="E906" s="2">
        <f>(E$634*D906)</f>
        <v>1.6</v>
      </c>
      <c r="I906" t="str">
        <v>הכנס חומרים לאט ופזר היטב. הפעל 5 דקות דספרסיה בין הכנסת כל חומר. וודא שאין קצף לפני המעבר לשלב הבא. עבוד במהירות בF10</v>
      </c>
      <c r="K906" t="str">
        <v>water</v>
      </c>
      <c r="L906" s="1">
        <v>0.175</v>
      </c>
      <c r="M906" s="2">
        <f>(M$634*L906)</f>
        <v>175</v>
      </c>
    </row>
    <row r="907">
      <c r="C907" t="str">
        <v>AGITAN 80</v>
      </c>
      <c r="D907" s="4">
        <v>0.001</v>
      </c>
      <c r="E907" s="2">
        <f>(E$634*D907)</f>
        <v>1</v>
      </c>
      <c r="K907" t="str">
        <v>OROTAN 731</v>
      </c>
      <c r="L907" s="4">
        <v>0.0016</v>
      </c>
      <c r="M907" s="2">
        <f>(M$634*L907)</f>
        <v>1.6</v>
      </c>
    </row>
    <row r="908">
      <c r="C908" t="str">
        <v>Biocide CMIF</v>
      </c>
      <c r="D908" s="1">
        <v>0.002</v>
      </c>
      <c r="E908" s="2">
        <f>(E$634*D908)</f>
        <v>2</v>
      </c>
      <c r="K908" t="str">
        <v>AGITAN 80</v>
      </c>
      <c r="L908" s="4">
        <v>0.001</v>
      </c>
      <c r="M908" s="2">
        <f>(M$634*L908)</f>
        <v>1</v>
      </c>
    </row>
    <row r="909">
      <c r="C909" t="str">
        <v>COMBIZELL</v>
      </c>
      <c r="D909" s="1">
        <v>0.0017</v>
      </c>
      <c r="E909" s="2">
        <f>(E$634*D909)</f>
        <v>1.7</v>
      </c>
      <c r="K909" t="str">
        <v>Biocide CMIF</v>
      </c>
      <c r="L909" s="1">
        <v>0.002</v>
      </c>
      <c r="M909" s="2">
        <f>(M$634*L909)</f>
        <v>2</v>
      </c>
    </row>
    <row r="910">
      <c r="C910" t="str">
        <v>AGITAN 80</v>
      </c>
      <c r="D910" s="1">
        <v>0.001</v>
      </c>
      <c r="E910" s="2">
        <f>(E$634*D910)</f>
        <v>1</v>
      </c>
      <c r="K910" t="str">
        <v>COMBIZELL</v>
      </c>
      <c r="L910" s="1">
        <v>0.0017</v>
      </c>
      <c r="M910" s="2">
        <f>(M$634*L910)</f>
        <v>1.7</v>
      </c>
    </row>
    <row r="911">
      <c r="A911" t="str">
        <v>הכנס ללא גושים ובסיום דספרסיה 5 דקות  בF 13</v>
      </c>
      <c r="C911" t="str">
        <v>TIONA 826</v>
      </c>
      <c r="D911" s="1">
        <v>0.12</v>
      </c>
      <c r="E911" s="2">
        <f>(E$634*D911)</f>
        <v>120</v>
      </c>
      <c r="K911" t="str">
        <v>AGITAN 80</v>
      </c>
      <c r="L911" s="1">
        <v>0.001</v>
      </c>
      <c r="M911" s="2">
        <f>(M$634*L911)</f>
        <v>1</v>
      </c>
    </row>
    <row r="912">
      <c r="A912" t="str">
        <v>הכנס ללא גושים ובסיום דספרסיה 5 דקות  בF 15</v>
      </c>
      <c r="C912" t="str">
        <v xml:space="preserve"> CHARMOR DP 15</v>
      </c>
      <c r="D912" s="1">
        <v>0.09</v>
      </c>
      <c r="E912" s="2">
        <f>(E$634*D912)</f>
        <v>90</v>
      </c>
      <c r="I912" t="str">
        <v>הכנס ללא גושים ובסיום דספרסיה 5 דקות  בF 13</v>
      </c>
      <c r="K912" t="str">
        <v>TIONA 826</v>
      </c>
      <c r="L912" s="1">
        <v>0.12</v>
      </c>
      <c r="M912" s="2">
        <f>(M$634*L912)</f>
        <v>120</v>
      </c>
    </row>
    <row r="913">
      <c r="A913" t="str">
        <v>הכנס ללא גושים ובסיום דספרסיה 5 דקות  בF 18</v>
      </c>
      <c r="C913" t="str">
        <v>MELAFINE</v>
      </c>
      <c r="D913" s="1">
        <v>0.09</v>
      </c>
      <c r="E913" s="2">
        <f>(E$634*D913)</f>
        <v>90</v>
      </c>
      <c r="I913" t="str">
        <v>הכנס ללא גושים ובסיום דספרסיה 5 דקות  בF 15</v>
      </c>
      <c r="K913" t="str">
        <v xml:space="preserve"> CHARMOR DP 15?</v>
      </c>
      <c r="L913" s="1">
        <v>0.09</v>
      </c>
      <c r="M913" s="2">
        <f>(M$634*L913)</f>
        <v>90</v>
      </c>
    </row>
    <row r="914">
      <c r="A914" t="str">
        <v>הכנס בזרם דק עד להומוגניות  בF 15</v>
      </c>
      <c r="C914" s="3" t="str">
        <v>Texanol</v>
      </c>
      <c r="D914" s="1">
        <v>0.0117</v>
      </c>
      <c r="E914" s="2">
        <f>(E$634*D914)</f>
        <v>11.700000000000001</v>
      </c>
      <c r="I914" t="str">
        <v>הכנס ללא גושים ובסיום דספרסיה 5 דקות  בF 18</v>
      </c>
      <c r="K914" t="str">
        <v>MELAFINE</v>
      </c>
      <c r="L914" s="1">
        <v>0.09</v>
      </c>
      <c r="M914" s="2">
        <f>(M$634*L914)</f>
        <v>90</v>
      </c>
    </row>
    <row r="915" ht="27.600000000000005" customHeight="1">
      <c r="A915" t="str">
        <v>הכנס ללא גושים  ב F18 עליה ל F21 ובסיום דספרסיה במשך 5 דקות . שים לב שלא יתחמם מידי</v>
      </c>
      <c r="C915" s="3" t="str">
        <v>EXOLIT AP435</v>
      </c>
      <c r="D915" s="1">
        <v>0.25</v>
      </c>
      <c r="E915" s="2">
        <f>(E$634*D915)</f>
        <v>250</v>
      </c>
      <c r="I915" t="str">
        <v>הכנס בזרם דק עד להומוגניות  בF 15</v>
      </c>
      <c r="K915" s="3" t="str">
        <v>Enhancer 400</v>
      </c>
      <c r="L915" s="1">
        <v>0.0117</v>
      </c>
      <c r="M915" s="2">
        <f>(M$634*L915)</f>
        <v>11.700000000000001</v>
      </c>
    </row>
    <row r="916" ht="27.600000000000005" customHeight="1">
      <c r="A916" t="str">
        <v>להכניס לאט ובהדרגה  לפוזור מלא ב12 F</v>
      </c>
      <c r="C916" s="3" t="str">
        <v>Lapinus CF 10</v>
      </c>
      <c r="D916" s="1">
        <v>0.04</v>
      </c>
      <c r="E916" s="2">
        <f>(E$634*D916)</f>
        <v>40</v>
      </c>
      <c r="I916" t="str">
        <v>הכנס ללא גושים  ב F18 עליה ל F21 ובסיום דספרסיה במשך 5 דקות . שים לב שלא יתחמם מידי</v>
      </c>
      <c r="K916" s="3" t="str">
        <v>EXOLIT AP435</v>
      </c>
      <c r="L916" s="1">
        <v>0.25</v>
      </c>
      <c r="M916" s="2">
        <f>(M$634*L916)</f>
        <v>250</v>
      </c>
    </row>
    <row r="917">
      <c r="A917" t="str">
        <v>הכנס בזרם דק עד להומוגניות  בF 12</v>
      </c>
      <c r="C917" s="3" t="str">
        <v>ENCOR 2394</v>
      </c>
      <c r="D917" s="1">
        <v>0.225</v>
      </c>
      <c r="E917" s="2">
        <f>(E$634*D917)</f>
        <v>225</v>
      </c>
      <c r="I917" t="str">
        <v>להכניס לאט ובהדרגה  לפוזור מלא ב12 F</v>
      </c>
      <c r="K917" s="3" t="str">
        <v>Lapinus CF 10</v>
      </c>
      <c r="L917" s="1">
        <v>0.03</v>
      </c>
      <c r="M917" s="2">
        <f>(M$634*L917)</f>
        <v>30</v>
      </c>
    </row>
    <row r="918">
      <c r="A918" t="str">
        <v>יש להכניס תוך ערבוב ולהמשיך ערבוב איטי כ5 דקות</v>
      </c>
      <c r="C918" s="3" t="str">
        <v>AGITAN 80</v>
      </c>
      <c r="D918" s="1">
        <v>0.001</v>
      </c>
      <c r="E918" s="2">
        <f>(E$634*D918)</f>
        <v>1</v>
      </c>
      <c r="I918" t="str">
        <v>הכנס בזרם דק עד להומוגניות  בF 12</v>
      </c>
      <c r="K918" s="3" t="str">
        <v>ENCOR 2394</v>
      </c>
      <c r="L918" s="1">
        <v>0.225</v>
      </c>
      <c r="M918" s="2">
        <f>(M$634*L918)</f>
        <v>225</v>
      </c>
    </row>
    <row r="919">
      <c r="D919" s="4">
        <f>SUM(D905:D918)</f>
        <v>1</v>
      </c>
      <c r="E919" s="2">
        <v>1000</v>
      </c>
      <c r="I919" t="str">
        <v>יש להכניס תוך ערבוב ולהמשיך ערבוב איטי כ5 דקות</v>
      </c>
      <c r="K919" s="3" t="str">
        <v>AGITAN 80</v>
      </c>
      <c r="L919" s="1">
        <v>0.001</v>
      </c>
      <c r="M919" s="2">
        <f>(M$634*L919)</f>
        <v>1</v>
      </c>
    </row>
    <row r="920">
      <c r="E920" s="2">
        <f>SUM(E905:E918)</f>
        <v>1000</v>
      </c>
      <c r="L920" s="4">
        <f>SUM(L906:L919)</f>
        <v>1</v>
      </c>
      <c r="M920" s="2">
        <v>1000</v>
      </c>
    </row>
    <row r="921">
      <c r="M921" s="2">
        <f>SUM(M906:M919)</f>
        <v>1000</v>
      </c>
    </row>
    <row r="925">
      <c r="A925" t="str">
        <v xml:space="preserve">            09.01.2024-063     Fresco INTUMESCENT</v>
      </c>
      <c r="I925" t="str">
        <v xml:space="preserve">         23.01.2024-064    Fresco INTUMESCENT</v>
      </c>
    </row>
    <row r="926">
      <c r="A926" t="str">
        <v xml:space="preserve">   על בסיס  036 052    Levasil CC401 1%  ENCOR 2394</v>
      </c>
      <c r="I926" t="str">
        <v>על פי 036 - (FR CROS 487 +ENCOR 2394) החלפת טקסנול ל  Enhancer 400</v>
      </c>
    </row>
    <row r="927">
      <c r="A927" t="str">
        <v>הוראות יצור</v>
      </c>
      <c r="B927" t="str">
        <v>שעה - הערות</v>
      </c>
      <c r="D927" t="str">
        <v>חומר</v>
      </c>
      <c r="E927" t="str">
        <v>כמות ק''ג</v>
      </c>
      <c r="I927" t="str">
        <v>הוראות יצור</v>
      </c>
      <c r="J927" t="str">
        <v>שעה - הערות</v>
      </c>
      <c r="L927" t="str">
        <v>חומר</v>
      </c>
      <c r="M927" t="str">
        <v>כמות ק''ג</v>
      </c>
    </row>
    <row r="928">
      <c r="A928" t="str">
        <v>הכנס חומרים לאט ופזר היטב. הפעל 5 דקות דספרסיה בין הכנסת כל חומר. וודא שאין קצף לפני המעבר לשלב הבא. עבוד במהירות בF10</v>
      </c>
      <c r="C928" t="str">
        <v>water</v>
      </c>
      <c r="D928" s="1">
        <v>0.1506</v>
      </c>
      <c r="E928" s="2">
        <f>(E943*D928)</f>
        <v>376.50000000000006</v>
      </c>
      <c r="I928" t="str">
        <v>הכנס חומרים לאט ופזר היטב. הפעל 5 דקות דספרסיה בין הכנסת כל חומר. וודא שאין קצף לפני המעבר לשלב הבא. עבוד במהירות בF10</v>
      </c>
      <c r="K928" t="str">
        <v>water</v>
      </c>
      <c r="L928" s="1">
        <v>0.1747</v>
      </c>
      <c r="M928" s="2">
        <f>(M$634*L928)</f>
        <v>174.7</v>
      </c>
    </row>
    <row r="929">
      <c r="C929" t="str">
        <v>Levasil CC401</v>
      </c>
      <c r="D929" s="1">
        <v>0.015</v>
      </c>
      <c r="E929" s="2">
        <f>(E943*D929)</f>
        <v>37.5</v>
      </c>
      <c r="K929" t="str">
        <v>OROTAN 731</v>
      </c>
      <c r="L929" s="4">
        <v>0.0016</v>
      </c>
      <c r="M929" s="2">
        <f>(M$634*L929)</f>
        <v>1.6</v>
      </c>
    </row>
    <row r="930">
      <c r="C930" t="str">
        <v>OROTAN 731</v>
      </c>
      <c r="D930" s="4">
        <v>0.0016</v>
      </c>
      <c r="E930" s="2">
        <f>(E943*D930)</f>
        <v>4</v>
      </c>
      <c r="K930" t="str">
        <v>AGITAN 80</v>
      </c>
      <c r="L930" s="4">
        <v>0.001</v>
      </c>
      <c r="M930" s="2">
        <f>(M$634*L930)</f>
        <v>1</v>
      </c>
    </row>
    <row r="931">
      <c r="C931" t="str">
        <v>AGITAN 80</v>
      </c>
      <c r="D931" s="4">
        <v>0.001</v>
      </c>
      <c r="E931" s="2">
        <f>(E943*D931)</f>
        <v>2.5</v>
      </c>
      <c r="K931" t="str">
        <v>Biocide CMIF</v>
      </c>
      <c r="L931" s="1">
        <v>0.002</v>
      </c>
      <c r="M931" s="2">
        <f>(M$634*L931)</f>
        <v>2</v>
      </c>
    </row>
    <row r="932">
      <c r="C932" t="str">
        <v>Mergal K14</v>
      </c>
      <c r="D932" s="1">
        <v>0.002</v>
      </c>
      <c r="E932" s="2">
        <f>(E943*D932)</f>
        <v>5</v>
      </c>
      <c r="K932" t="str">
        <v>COMBIZELL</v>
      </c>
      <c r="L932" s="1">
        <v>0.002</v>
      </c>
      <c r="M932" s="2">
        <f>(M$634*L932)</f>
        <v>2</v>
      </c>
    </row>
    <row r="933">
      <c r="C933" t="str">
        <v>COMBIZELL</v>
      </c>
      <c r="D933" s="1">
        <v>0.0016</v>
      </c>
      <c r="E933" s="2">
        <f>(E943*D933)</f>
        <v>4</v>
      </c>
      <c r="K933" t="str">
        <v>AGITAN 80</v>
      </c>
      <c r="L933" s="1">
        <v>0.001</v>
      </c>
      <c r="M933" s="2">
        <f>(M$634*L933)</f>
        <v>1</v>
      </c>
    </row>
    <row r="934">
      <c r="C934" t="str">
        <v>AGITAN 80</v>
      </c>
      <c r="D934" s="1">
        <v>0.001</v>
      </c>
      <c r="E934" s="2">
        <f>(E943*D934)</f>
        <v>2.5</v>
      </c>
      <c r="I934" t="str">
        <v>הכנס ללא גושים ובסיום דספרסיה 5 דקות  בF 13</v>
      </c>
      <c r="K934" t="str">
        <v>TIONA 826</v>
      </c>
      <c r="L934" s="1">
        <v>0.12</v>
      </c>
      <c r="M934" s="2">
        <f>(M$634*L934)</f>
        <v>120</v>
      </c>
    </row>
    <row r="935">
      <c r="A935" t="str">
        <v>הכנס ללא גושים ובסיום דספרסיה 5 דקות  בF 13</v>
      </c>
      <c r="C935" t="str">
        <v>TIONA 826</v>
      </c>
      <c r="D935" s="1">
        <v>0.12</v>
      </c>
      <c r="E935" s="2">
        <f>(E943*D935)</f>
        <v>300</v>
      </c>
      <c r="I935" t="str">
        <v>הכנס ללא גושים ובסיום דספרסיה 5 דקות  בF 15</v>
      </c>
      <c r="K935" t="str">
        <v xml:space="preserve"> CHARMOR PM 40</v>
      </c>
      <c r="L935" s="1">
        <v>0.09</v>
      </c>
      <c r="M935" s="2">
        <f>(M$634*L935)</f>
        <v>90</v>
      </c>
    </row>
    <row r="936">
      <c r="A936" t="str">
        <v>הכנס ללא גושים ובסיום דספרסיה 5 דקות  בF 15</v>
      </c>
      <c r="C936" t="str">
        <v xml:space="preserve"> CHARMOR PM 40</v>
      </c>
      <c r="D936" s="1">
        <v>0.095</v>
      </c>
      <c r="E936" s="2">
        <f>(E943*D936)</f>
        <v>237.5</v>
      </c>
      <c r="I936" t="str">
        <v>הכנס ללא גושים ובסיום דספרסיה 5 דקות  בF 18</v>
      </c>
      <c r="K936" t="str">
        <v>MELAFINE</v>
      </c>
      <c r="L936" s="1">
        <v>0.09</v>
      </c>
      <c r="M936" s="2">
        <f>(M$634*L936)</f>
        <v>90</v>
      </c>
    </row>
    <row r="937">
      <c r="A937" t="str">
        <v>הכנס ללא גושים ובסיום דספרסיה 5 דקות  בF 18</v>
      </c>
      <c r="C937" t="str">
        <v>MELAFINE</v>
      </c>
      <c r="D937" s="1">
        <v>0.095</v>
      </c>
      <c r="E937" s="2">
        <f>(E943*D937)</f>
        <v>237.5</v>
      </c>
      <c r="I937" t="str">
        <v>הכנס בזרם דק עד להומוגניות  בF 15</v>
      </c>
      <c r="K937" s="3" t="str">
        <v>Enhancer 400</v>
      </c>
      <c r="L937" s="1">
        <v>0.0117</v>
      </c>
      <c r="M937" s="2">
        <f>(M$634*L937)</f>
        <v>11.700000000000001</v>
      </c>
    </row>
    <row r="938" ht="27.600000000000005" customHeight="1">
      <c r="A938" t="str">
        <v>הכנס בזרם דק עד להומוגניות  בF 15</v>
      </c>
      <c r="C938" s="3" t="str">
        <v>Texanol</v>
      </c>
      <c r="D938" s="1">
        <v>0.0117</v>
      </c>
      <c r="E938" s="2">
        <f>(E943*D938)</f>
        <v>29.25</v>
      </c>
      <c r="I938" t="str">
        <v>הכנס ללא גושים  ב F18 עליה ל F21 ובסיום דספרסיה במשך 5 דקות . שים לב שלא יתחמם מידי</v>
      </c>
      <c r="K938" s="3" t="str">
        <v>FR CROS 487</v>
      </c>
      <c r="L938" s="1">
        <v>0.25</v>
      </c>
      <c r="M938" s="2">
        <f>(M$634*L938)</f>
        <v>250</v>
      </c>
    </row>
    <row r="939" ht="27.600000000000005" customHeight="1">
      <c r="A939" t="str">
        <v>הכנס ללא גושים  ב F18 עליה ל F21 ובסיום דספרסיה במשך 5 דקות . שים לב שלא יתחמם מידי</v>
      </c>
      <c r="C939" s="3" t="str">
        <v>FR CROS 487</v>
      </c>
      <c r="D939" s="1">
        <v>0.25</v>
      </c>
      <c r="E939" s="2">
        <f>(E943*D939)</f>
        <v>625</v>
      </c>
      <c r="I939" t="str">
        <v>להכניס לאט ובהדרגה  לפוזור מלא ב12 F</v>
      </c>
      <c r="K939" s="3" t="str">
        <v>Lapinus CF 10</v>
      </c>
      <c r="L939" s="1">
        <v>0.03</v>
      </c>
      <c r="M939" s="2">
        <f>(M$634*L939)</f>
        <v>30</v>
      </c>
    </row>
    <row r="940">
      <c r="A940" t="str">
        <v>להכניס לאט ובהדרגה  לפוזור מלא ב12 F</v>
      </c>
      <c r="C940" s="3" t="str">
        <v>Lapinus CF 10</v>
      </c>
      <c r="D940" s="1">
        <v>0.03</v>
      </c>
      <c r="E940" s="2">
        <f>(E943*D940)</f>
        <v>75</v>
      </c>
      <c r="I940" t="str">
        <v>הכנס בזרם דק עד להומוגניות  בF 12</v>
      </c>
      <c r="K940" s="3" t="str">
        <v>ENCOR 2394</v>
      </c>
      <c r="L940" s="1">
        <v>0.225</v>
      </c>
      <c r="M940" s="2">
        <f>(M$634*L940)</f>
        <v>225</v>
      </c>
    </row>
    <row r="941">
      <c r="A941" t="str">
        <v>הכנס בזרם דק עד להומוגניות  בF 12  לאחר מכן הכנס אגיטן ובסיום המשך 7 דקות ערבול</v>
      </c>
      <c r="C941" s="3" t="str">
        <v>ENCOR 2394</v>
      </c>
      <c r="D941" s="1">
        <v>0.225</v>
      </c>
      <c r="E941" s="2">
        <f>(E943*D941)</f>
        <v>562.5</v>
      </c>
      <c r="I941" t="str">
        <v>יש להכניס תוך ערבוב ולהמשיך ערבוב איטי כ5 דקות</v>
      </c>
      <c r="K941" s="3" t="str">
        <v>AGITAN 80</v>
      </c>
      <c r="L941" s="1">
        <v>0.001</v>
      </c>
      <c r="M941" s="2">
        <f>(M$634*L941)</f>
        <v>1</v>
      </c>
    </row>
    <row r="942">
      <c r="C942" s="3" t="str">
        <v>AGITAN 80</v>
      </c>
      <c r="D942" s="1">
        <v>0.0005</v>
      </c>
      <c r="E942" s="2">
        <f>(E943*D942)</f>
        <v>1.25</v>
      </c>
      <c r="L942" s="4">
        <f>SUM(L928:L941)</f>
        <v>1</v>
      </c>
      <c r="M942" s="2">
        <v>1000</v>
      </c>
    </row>
    <row r="943">
      <c r="D943" s="4">
        <f>SUM(D928:D942)</f>
        <v>0.9999999999999999</v>
      </c>
      <c r="E943" s="2">
        <v>2500</v>
      </c>
      <c r="M943" s="2">
        <f>SUM(M928:M941)</f>
        <v>1000</v>
      </c>
    </row>
    <row r="944">
      <c r="E944" s="2">
        <f>SUM(E928:E942)</f>
        <v>2500</v>
      </c>
    </row>
    <row r="949">
      <c r="A949" t="str">
        <v xml:space="preserve">           22.02.2024-065     Fresco INTUMESCENT</v>
      </c>
      <c r="I949" t="str">
        <v xml:space="preserve">            23.01.2024-066     Fresco INTUMESCENT</v>
      </c>
    </row>
    <row r="950">
      <c r="A950" t="str">
        <v xml:space="preserve">   על בסיס 055  063וסיכום ניסויי הגדלה ל 23% של  Levasil CC401 1%   ENCOR 2394   עם FR CROS 487 הגדלת אורוטן  CMIF</v>
      </c>
      <c r="I950" t="str">
        <v xml:space="preserve">   על בסיס 056 הגדלה ל24%   Levasil CC401 1%     ENCOR 2394 עם FR CROS 487</v>
      </c>
    </row>
    <row r="951">
      <c r="A951" t="str">
        <v>הוראות יצור</v>
      </c>
      <c r="B951" t="str">
        <v>שעה - הערות</v>
      </c>
      <c r="D951" t="str">
        <v>חומר</v>
      </c>
      <c r="E951" t="str">
        <v>כמות ק''ג</v>
      </c>
      <c r="I951" t="str">
        <v>הוראות יצור</v>
      </c>
      <c r="J951" t="str">
        <v>שעה - הערות</v>
      </c>
      <c r="L951" t="str">
        <v>חומר</v>
      </c>
      <c r="M951" t="str">
        <v>כמות ק''ג</v>
      </c>
    </row>
    <row r="952">
      <c r="A952" t="str">
        <v>הכנס חומרים לאט ופזר היטב. הפעל 5 דקות דספרסיה בין הכנסת כל חומר. וודא שאין קצף לפני המעבר לשלב הבא. עבוד במהירות בF10</v>
      </c>
      <c r="C952" t="str">
        <v>water</v>
      </c>
      <c r="D952" s="1">
        <v>0.1494</v>
      </c>
      <c r="E952" s="2">
        <f>(E967*D952)</f>
        <v>149.4</v>
      </c>
      <c r="I952" t="str">
        <v>הכנס חומרים לאט ופזר היטב. הפעל 5 דקות דספרסיה בין הכנסת כל חומר. וודא שאין קצף לפני המעבר לשלב הבא. עבוד במהירות בF10</v>
      </c>
      <c r="K952" t="str">
        <v>water</v>
      </c>
      <c r="L952" s="1">
        <v>0.1305</v>
      </c>
      <c r="M952" s="2">
        <f>(M967*L952)</f>
        <v>143.55</v>
      </c>
    </row>
    <row r="953">
      <c r="C953" t="str">
        <v>Vinkocide CMIF</v>
      </c>
      <c r="D953" s="1">
        <v>0.004</v>
      </c>
      <c r="E953" s="2">
        <f>(E967*D953)</f>
        <v>4</v>
      </c>
    </row>
    <row r="954">
      <c r="C954" t="str">
        <v>Levasil CC401</v>
      </c>
      <c r="D954" s="1">
        <v>0.01</v>
      </c>
      <c r="E954" s="2">
        <f>(E967*D954)</f>
        <v>10</v>
      </c>
      <c r="K954" t="str">
        <v>Levasil CC401</v>
      </c>
      <c r="L954" s="1">
        <v>0.01</v>
      </c>
      <c r="M954" s="2">
        <f>(M967*L954)</f>
        <v>11</v>
      </c>
    </row>
    <row r="955">
      <c r="C955" t="str">
        <v>OROTAN 731</v>
      </c>
      <c r="D955" s="1">
        <v>0.004</v>
      </c>
      <c r="E955" s="2">
        <f>(E967*D955)</f>
        <v>4</v>
      </c>
      <c r="K955" t="str">
        <v>OROTAN 731</v>
      </c>
      <c r="L955" s="4">
        <v>0.0016</v>
      </c>
      <c r="M955" s="2">
        <f>(M967*L955)</f>
        <v>1.76</v>
      </c>
    </row>
    <row r="956">
      <c r="C956" t="str">
        <v>AGITAN 80</v>
      </c>
      <c r="D956" s="1">
        <v>0.001</v>
      </c>
      <c r="E956" s="2">
        <f>(E967*D956)</f>
        <v>1</v>
      </c>
      <c r="K956" t="str">
        <v>AGITAN 80</v>
      </c>
      <c r="L956" s="4">
        <v>0.001</v>
      </c>
      <c r="M956" s="2">
        <f>(M967*L956)</f>
        <v>1.1</v>
      </c>
    </row>
    <row r="957">
      <c r="C957" t="str">
        <v>COMBIZELL</v>
      </c>
      <c r="D957" s="1">
        <v>0.0016</v>
      </c>
      <c r="E957" s="2">
        <f>(E967*D957)</f>
        <v>1.6</v>
      </c>
      <c r="K957" t="str">
        <v>COMBIZELL</v>
      </c>
      <c r="L957" s="1">
        <v>0.0017</v>
      </c>
      <c r="M957" s="2">
        <f>(M967*L957)</f>
        <v>1.8699999999999999</v>
      </c>
    </row>
    <row r="958">
      <c r="C958" t="str">
        <v>AGITAN 80</v>
      </c>
      <c r="D958" s="1">
        <v>0.001</v>
      </c>
      <c r="E958" s="2">
        <f>(E967*D958)</f>
        <v>1</v>
      </c>
      <c r="K958" t="str">
        <v>AGITAN 80</v>
      </c>
      <c r="L958" s="1">
        <v>0.001</v>
      </c>
      <c r="M958" s="2">
        <f>(M967*L958)</f>
        <v>1.1</v>
      </c>
    </row>
    <row r="959">
      <c r="A959" t="str">
        <v>הכנס ללא גושים ובסיום דספרסיה 5 דקות  בF 13</v>
      </c>
      <c r="C959" t="str">
        <v>TIONA 826</v>
      </c>
      <c r="D959" s="1">
        <v>0.12</v>
      </c>
      <c r="E959" s="2">
        <f>(E967*D959)</f>
        <v>120</v>
      </c>
      <c r="I959" t="str">
        <v>הכנס ללא גושים ובסיום דספרסיה 5 דקות  בF 13</v>
      </c>
      <c r="K959" t="str">
        <v>TIONA 826</v>
      </c>
      <c r="L959" s="1">
        <v>0.12</v>
      </c>
      <c r="M959" s="2">
        <f>(M967*L959)</f>
        <v>132</v>
      </c>
    </row>
    <row r="960">
      <c r="A960" t="str">
        <v>הכנס ללא גושים ובסיום דספרסיה 5 דקות  בF 15</v>
      </c>
      <c r="C960" t="str">
        <v xml:space="preserve"> CHARMOR PM 40</v>
      </c>
      <c r="D960" s="1">
        <v>0.0925</v>
      </c>
      <c r="E960" s="2">
        <f>(E967*D960)</f>
        <v>92.5</v>
      </c>
      <c r="I960" t="str">
        <v>הכנס ללא גושים ובסיום דספרסיה 5 דקות  בF 15</v>
      </c>
      <c r="K960" t="str">
        <v xml:space="preserve"> CHARMOR PM 40</v>
      </c>
      <c r="L960" s="1">
        <v>0.1</v>
      </c>
      <c r="M960" s="2">
        <f>(M967*L960)</f>
        <v>110</v>
      </c>
    </row>
    <row r="961">
      <c r="A961" t="str">
        <v>הכנס ללא גושים ובסיום דספרסיה 5 דקות  בF 18</v>
      </c>
      <c r="C961" t="str">
        <v>MELAFINE</v>
      </c>
      <c r="D961" s="1">
        <v>0.0925</v>
      </c>
      <c r="E961" s="2">
        <f>(E967*D961)</f>
        <v>92.5</v>
      </c>
      <c r="I961" t="str">
        <v>הכנס ללא גושים ובסיום דספרסיה 5 דקות  בF 18</v>
      </c>
      <c r="K961" t="str">
        <v>MELAFINE</v>
      </c>
      <c r="L961" s="1">
        <v>0.1</v>
      </c>
      <c r="M961" s="2">
        <f>(M967*L961)</f>
        <v>110</v>
      </c>
    </row>
    <row r="962">
      <c r="A962" t="str">
        <v>הכנס בזרם דק עד להומוגניות  בF 15</v>
      </c>
      <c r="C962" s="3" t="str">
        <v>Texanol</v>
      </c>
      <c r="D962" s="1">
        <v>0.013</v>
      </c>
      <c r="E962" s="2">
        <f>(E967*D962)</f>
        <v>13</v>
      </c>
      <c r="I962" t="str">
        <v>הכנס בזרם דק עד להומוגניות  בF 15</v>
      </c>
      <c r="K962" s="3" t="str">
        <v>Texanol</v>
      </c>
      <c r="L962" s="1">
        <v>0.0117</v>
      </c>
      <c r="M962" s="2">
        <f>(M967*L962)</f>
        <v>12.870000000000001</v>
      </c>
    </row>
    <row r="963" ht="27.600000000000005" customHeight="1">
      <c r="A963" t="str">
        <v>הכנס ללא גושים  ב F18 עליה ל F21 ובסיום דספרסיה במשך 5 דקות . שים לב שלא יתחמם מידי</v>
      </c>
      <c r="C963" s="3" t="str">
        <v>FR CROS 487</v>
      </c>
      <c r="D963" s="1">
        <v>0.25</v>
      </c>
      <c r="E963" s="2">
        <f>(E967*D963)</f>
        <v>250</v>
      </c>
      <c r="I963" t="str">
        <v>הכנס ללא גושים  ב F18 עליה ל F21 ובסיום דספרסיה במשך 5 דקות . שים לב שלא יתחמם מידי</v>
      </c>
      <c r="K963" s="3" t="str">
        <v>FR CROS 487</v>
      </c>
      <c r="L963" s="1">
        <v>0.25</v>
      </c>
      <c r="M963" s="2">
        <f>(M967*L963)</f>
        <v>275</v>
      </c>
    </row>
    <row r="964">
      <c r="A964" t="str">
        <v>להכניס לאט ובהדרגה  לפוזור מלא ב12 F</v>
      </c>
      <c r="C964" s="3" t="str">
        <v>Lapinus CF 10</v>
      </c>
      <c r="D964" s="1">
        <v>0.03</v>
      </c>
      <c r="E964" s="2">
        <f>(E967*D964)</f>
        <v>30</v>
      </c>
      <c r="I964" t="str">
        <v>להכניס לאט ובהדרגה  לפוזור מלא ב12 F</v>
      </c>
      <c r="K964" s="3" t="str">
        <v>Lapinus CF 10</v>
      </c>
      <c r="L964" s="1">
        <v>0.03</v>
      </c>
      <c r="M964" s="2">
        <f>(M967*L964)</f>
        <v>33</v>
      </c>
    </row>
    <row r="965">
      <c r="A965" t="str">
        <v>הכנס בזרם דק עד להומוגניות  בF 12  לאחר מכן הכנס אגיטן ובסיום המשך 7 דקות ערבול</v>
      </c>
      <c r="C965" s="3" t="str">
        <v>ENCOR 2394</v>
      </c>
      <c r="D965" s="1">
        <v>0.23</v>
      </c>
      <c r="E965" s="2">
        <f>(E967*D965)</f>
        <v>230</v>
      </c>
      <c r="I965" t="str">
        <v>הכנס בזרם דק עד להומוגניות  בF 12  לאחר מכן הכנס אגיטן ובסיום המשך 7 דקות ערבול</v>
      </c>
      <c r="K965" s="3" t="str">
        <v>ENCOR 2394</v>
      </c>
      <c r="L965" s="1">
        <v>0.24</v>
      </c>
      <c r="M965" s="2">
        <f>(M967*L965)</f>
        <v>264</v>
      </c>
    </row>
    <row r="966">
      <c r="C966" s="3" t="str">
        <v>AGITAN 80</v>
      </c>
      <c r="D966" s="1">
        <v>0.001</v>
      </c>
      <c r="E966" s="2">
        <f>(E967*D966)</f>
        <v>1</v>
      </c>
      <c r="K966" s="3" t="str">
        <v>AGITAN 80</v>
      </c>
      <c r="L966" s="1">
        <v>0.0005</v>
      </c>
      <c r="M966" s="2">
        <f>(M967*L966)</f>
        <v>0.55</v>
      </c>
    </row>
    <row r="967">
      <c r="D967" s="4">
        <f>SUM(D952:D966)</f>
        <v>1</v>
      </c>
      <c r="E967" s="2">
        <v>1000</v>
      </c>
      <c r="L967" s="4">
        <f>SUM(L952:L966)</f>
        <v>0.998</v>
      </c>
      <c r="M967" s="2">
        <v>1100</v>
      </c>
    </row>
    <row r="968">
      <c r="E968" s="2">
        <f>SUM(E952:E966)</f>
        <v>1000</v>
      </c>
      <c r="M968" s="2">
        <f>SUM(M952:M966)</f>
        <v>1097.8</v>
      </c>
    </row>
    <row r="973">
      <c r="A973" t="str">
        <v xml:space="preserve">            22.02.2024-067     Fresco INTUMESCENT</v>
      </c>
    </row>
    <row r="974">
      <c r="A974" t="str">
        <v xml:space="preserve">   על בסיס  063 +065 הגדלת  23%   Levasil CC401 1.5%  ,ENCOR 2394, הגדלת אורוטן  </v>
      </c>
      <c r="I974" t="str">
        <v xml:space="preserve">           25.02.2024-068   Fresco INTUMESCENT</v>
      </c>
    </row>
    <row r="975">
      <c r="A975" t="str">
        <v>הוראות יצור</v>
      </c>
      <c r="B975" t="str">
        <v>שעה - הערות</v>
      </c>
      <c r="D975" t="str">
        <v>חומר</v>
      </c>
      <c r="E975" t="str">
        <v>כמות ק''ג</v>
      </c>
      <c r="I975" t="str">
        <v xml:space="preserve">   על בסיס   058     Levasil CC401 1%   ,  24 %VINNAPAS EZ 3019 עם טקסנול הגדלת אורוטן  ואגיטן</v>
      </c>
    </row>
    <row r="976">
      <c r="A976" t="str">
        <v>הכנס חומרים לאט ופזר היטב. הפעל 5 דקות דספרסיה בין הכנסת כל חומר. וודא שאין קצף לפני המעבר לשלב הבא. עבוד במהירות בF10</v>
      </c>
      <c r="C976" t="str">
        <v>water</v>
      </c>
      <c r="D976" s="1">
        <v>0.1444</v>
      </c>
      <c r="E976" s="2">
        <f>(E991*D976)</f>
        <v>144.4</v>
      </c>
      <c r="I976" t="str">
        <v>הוראות יצור</v>
      </c>
      <c r="J976" t="str">
        <v>שעה - הערות</v>
      </c>
      <c r="L976" t="str">
        <v>חומר</v>
      </c>
      <c r="M976" t="str">
        <v>כמות ק''ג</v>
      </c>
    </row>
    <row r="977">
      <c r="C977" t="str">
        <v>Vinkocide CMIF</v>
      </c>
      <c r="D977" s="1">
        <v>0.004</v>
      </c>
      <c r="E977" s="2">
        <f>(E991*D977)</f>
        <v>4</v>
      </c>
      <c r="I977" t="str">
        <v>הכנס חומרים לאט ופזר היטב. הפעל 5 דקות דספרסיה בין הכנסת כל חומר. וודא שאין קצף לפני המעבר לשלב הבא. עבוד במהירות בF10</v>
      </c>
      <c r="K977" t="str">
        <v>water</v>
      </c>
      <c r="L977" s="1">
        <v>0.1414</v>
      </c>
      <c r="M977" s="2">
        <f>(M992*L977)</f>
        <v>141.4</v>
      </c>
    </row>
    <row r="978">
      <c r="C978" t="str">
        <v>Levasil CC401</v>
      </c>
      <c r="D978" s="1">
        <v>0.015</v>
      </c>
      <c r="E978" s="2">
        <f>(E991*D978)</f>
        <v>15</v>
      </c>
      <c r="K978" t="str">
        <v>Vinkocide CMIF</v>
      </c>
      <c r="L978" s="1">
        <v>0.004</v>
      </c>
      <c r="M978" s="2">
        <f>(M992*L978)</f>
        <v>4</v>
      </c>
    </row>
    <row r="979">
      <c r="C979" t="str">
        <v>OROTAN 731</v>
      </c>
      <c r="D979" s="1">
        <v>0.004</v>
      </c>
      <c r="E979" s="2">
        <f>(E991*D979)</f>
        <v>4</v>
      </c>
      <c r="K979" t="str">
        <v>Levasil CC401</v>
      </c>
      <c r="L979" s="1">
        <v>0.01</v>
      </c>
      <c r="M979" s="2">
        <f>(M992*L979)</f>
        <v>10</v>
      </c>
    </row>
    <row r="980">
      <c r="C980" t="str">
        <v>AGITAN 80</v>
      </c>
      <c r="D980" s="1">
        <v>0.001</v>
      </c>
      <c r="E980" s="2">
        <f>(E991*D980)</f>
        <v>1</v>
      </c>
      <c r="K980" t="str">
        <v>OROTAN 731</v>
      </c>
      <c r="L980" s="1">
        <v>0.004</v>
      </c>
      <c r="M980" s="2">
        <f>(M992*L980)</f>
        <v>4</v>
      </c>
    </row>
    <row r="981">
      <c r="C981" t="str">
        <v>COMBIZELL</v>
      </c>
      <c r="D981" s="1">
        <v>0.0016</v>
      </c>
      <c r="E981" s="2">
        <f>(E991*D981)</f>
        <v>1.6</v>
      </c>
      <c r="K981" t="str">
        <v>AGITAN 80</v>
      </c>
      <c r="L981" s="1">
        <v>0.001</v>
      </c>
      <c r="M981" s="2">
        <f>(M992*L981)</f>
        <v>1</v>
      </c>
    </row>
    <row r="982">
      <c r="C982" t="str">
        <v>AGITAN 80</v>
      </c>
      <c r="D982" s="1">
        <v>0.001</v>
      </c>
      <c r="E982" s="2">
        <f>(E991*D982)</f>
        <v>1</v>
      </c>
      <c r="K982" t="str">
        <v>COMBIZELL</v>
      </c>
      <c r="L982" s="1">
        <v>0.0026</v>
      </c>
      <c r="M982" s="2">
        <f>(M992*L982)</f>
        <v>2.6</v>
      </c>
    </row>
    <row r="983">
      <c r="A983" t="str">
        <v>הכנס ללא גושים ובסיום דספרסיה 5 דקות  בF 13</v>
      </c>
      <c r="C983" t="str">
        <v>TIONA 826</v>
      </c>
      <c r="D983" s="1">
        <v>0.12</v>
      </c>
      <c r="E983" s="2">
        <f>(E991*D983)</f>
        <v>120</v>
      </c>
      <c r="K983" t="str">
        <v>AGITAN 80</v>
      </c>
      <c r="L983" s="1">
        <v>0.001</v>
      </c>
      <c r="M983" s="2">
        <f>(M992*L983)</f>
        <v>1</v>
      </c>
    </row>
    <row r="984">
      <c r="A984" t="str">
        <v>הכנס ללא גושים ובסיום דספרסיה 5 דקות  בF 15</v>
      </c>
      <c r="C984" t="str">
        <v xml:space="preserve"> CHARMOR PM 40</v>
      </c>
      <c r="D984" s="1">
        <v>0.0925</v>
      </c>
      <c r="E984" s="2">
        <f>(E991*D984)</f>
        <v>92.5</v>
      </c>
      <c r="I984" t="str">
        <v>הכנס ללא גושים ובסיום דספרסיה 5 דקות  בF 13</v>
      </c>
      <c r="K984" t="str">
        <v>TIONA 826</v>
      </c>
      <c r="L984" s="1">
        <v>0.12</v>
      </c>
      <c r="M984" s="2">
        <f>(M992*L984)</f>
        <v>120</v>
      </c>
    </row>
    <row r="985">
      <c r="A985" t="str">
        <v>הכנס ללא גושים ובסיום דספרסיה 5 דקות  בF 18</v>
      </c>
      <c r="C985" t="str">
        <v>MELAFINE</v>
      </c>
      <c r="D985" s="1">
        <v>0.0925</v>
      </c>
      <c r="E985" s="2">
        <f>(E991*D985)</f>
        <v>92.5</v>
      </c>
      <c r="I985" t="str">
        <v>הכנס ללא גושים ובסיום דספרסיה 5 דקות  בF 15</v>
      </c>
      <c r="K985" t="str">
        <v xml:space="preserve"> CHARMOR PM 40</v>
      </c>
      <c r="L985" s="1">
        <v>0.0925</v>
      </c>
      <c r="M985" s="2">
        <f>(M992*L985)</f>
        <v>92.5</v>
      </c>
    </row>
    <row r="986">
      <c r="A986" t="str">
        <v>הכנס בזרם דק עד להומוגניות  בF 15</v>
      </c>
      <c r="C986" s="3" t="str">
        <v>Texanol</v>
      </c>
      <c r="D986" s="1">
        <v>0.013</v>
      </c>
      <c r="E986" s="2">
        <f>(E991*D986)</f>
        <v>13</v>
      </c>
      <c r="I986" t="str">
        <v>הכנס ללא גושים ובסיום דספרסיה 5 דקות  בF 18</v>
      </c>
      <c r="K986" t="str">
        <v>MELAFINE</v>
      </c>
      <c r="L986" s="1">
        <v>0.0925</v>
      </c>
      <c r="M986" s="2">
        <f>(M992*L986)</f>
        <v>92.5</v>
      </c>
    </row>
    <row r="987" ht="27.600000000000005" customHeight="1">
      <c r="A987" t="str">
        <v>הכנס ללא גושים  ב F18 עליה ל F21 ובסיום דספרסיה במשך 5 דקות . שים לב שלא יתחמם מידי</v>
      </c>
      <c r="C987" s="3" t="str">
        <v>FR CROS 487</v>
      </c>
      <c r="D987" s="1">
        <v>0.25</v>
      </c>
      <c r="E987" s="2">
        <f>(E991*D987)</f>
        <v>250</v>
      </c>
      <c r="I987" t="str">
        <v>הכנס בזרם דק עד להומוגניות  בF 15</v>
      </c>
      <c r="K987" s="3" t="str">
        <v>Texanol</v>
      </c>
      <c r="L987" s="1">
        <v>0.005</v>
      </c>
      <c r="M987" s="2">
        <f>(M992*L987)</f>
        <v>5</v>
      </c>
    </row>
    <row r="988" ht="27.600000000000005" customHeight="1">
      <c r="A988" t="str">
        <v>להכניס לאט ובהדרגה  לפוזור מלא ב12 F</v>
      </c>
      <c r="C988" s="3" t="str">
        <v>Lapinus CF 10</v>
      </c>
      <c r="D988" s="1">
        <v>0.03</v>
      </c>
      <c r="E988" s="2">
        <f>(E991*D988)</f>
        <v>30</v>
      </c>
      <c r="I988" t="str">
        <v>הכנס ללא גושים  ב F18 עליה ל F21 ובסיום דספרסיה במשך 5 דקות . שים לב שלא יתחמם מידי</v>
      </c>
      <c r="K988" s="3" t="str">
        <v>FR CROS 487</v>
      </c>
      <c r="L988" s="1">
        <v>0.25</v>
      </c>
      <c r="M988" s="2">
        <f>(M992*L988)</f>
        <v>250</v>
      </c>
    </row>
    <row r="989">
      <c r="A989" t="str">
        <v>הכנס בזרם דק עד להומוגניות  בF 12  לאחר מכן הכנס אגיטן ובסיום המשך 7 דקות ערבול</v>
      </c>
      <c r="C989" s="3" t="str">
        <v>ENCOR 2394</v>
      </c>
      <c r="D989" s="1">
        <v>0.23</v>
      </c>
      <c r="E989" s="2">
        <f>(E991*D989)</f>
        <v>230</v>
      </c>
      <c r="I989" t="str">
        <v>להכניס לאט ובהדרגה  לפוזור מלא ב12 F</v>
      </c>
      <c r="K989" s="3" t="str">
        <v>Lapinus CF 10</v>
      </c>
      <c r="L989" s="1">
        <v>0.03</v>
      </c>
      <c r="M989" s="2">
        <f>(M992*L989)</f>
        <v>30</v>
      </c>
    </row>
    <row r="990">
      <c r="C990" s="3" t="str">
        <v>AGITAN 80</v>
      </c>
      <c r="D990" s="1">
        <v>0.001</v>
      </c>
      <c r="E990" s="2">
        <f>(E991*D990)</f>
        <v>1</v>
      </c>
      <c r="I990" t="str">
        <v>הכנס בזרם דק עד להומוגניות  בF 12  לאחר מכן הכנס אגיטן ובסיום המשך 7 דקות ערבול</v>
      </c>
      <c r="K990" s="3" t="str">
        <v>VINNAPAS EZ 3019</v>
      </c>
      <c r="L990" s="1">
        <v>0.245</v>
      </c>
      <c r="M990" s="2">
        <f>(M992*L990)</f>
        <v>245</v>
      </c>
    </row>
    <row r="991">
      <c r="D991" s="4">
        <f>SUM(D976:D990)</f>
        <v>1</v>
      </c>
      <c r="E991" s="2">
        <v>1000</v>
      </c>
      <c r="K991" s="3" t="str">
        <v>AGITAN 80</v>
      </c>
      <c r="L991" s="1">
        <v>0.001</v>
      </c>
      <c r="M991" s="2">
        <f>(M992*L991)</f>
        <v>1</v>
      </c>
    </row>
    <row r="992">
      <c r="E992" s="2">
        <f>SUM(E976:E990)</f>
        <v>1000</v>
      </c>
      <c r="L992" s="4">
        <f>SUM(L977:L991)</f>
        <v>1</v>
      </c>
      <c r="M992" s="2">
        <v>1000</v>
      </c>
    </row>
    <row r="993">
      <c r="M993" s="2">
        <f>SUM(M977:M991)</f>
        <v>1000</v>
      </c>
    </row>
    <row r="997">
      <c r="A997" t="str">
        <v xml:space="preserve">          05.03.2024-069   Fresco INTUMESCENT</v>
      </c>
      <c r="I997" t="str">
        <v xml:space="preserve">           26.02.2024-070     Fresco INTUMESCENT</v>
      </c>
    </row>
    <row r="998" ht="17.4" customHeight="1">
      <c r="A998" t="str">
        <v xml:space="preserve">   על בסיס   058     Levasil CC401 1.5%      24.5 %VINNAPAS EZ 3019 עם טקסנול הגדלת אורוטן  אגיטן ווביציד אחוז מוצקים 70.5%</v>
      </c>
      <c r="I998" t="str">
        <v xml:space="preserve">   על בסיס 065  063וסיכום ניסויי הגדלה ל 23% של  Levasil CC401 1%   ENCOR 2394   עם FR CROS 487 הגדלת מסמיך אורוטן  CMIF</v>
      </c>
    </row>
    <row r="999">
      <c r="A999" t="str">
        <v>הוראות יצור</v>
      </c>
      <c r="B999" t="str">
        <v>שעה - הערות</v>
      </c>
      <c r="D999" t="str">
        <v>חומר</v>
      </c>
      <c r="E999" t="str">
        <v>כמות ק''ג</v>
      </c>
      <c r="I999" t="str">
        <v>הוראות יצור</v>
      </c>
      <c r="J999" t="str">
        <v>שעה - הערות</v>
      </c>
      <c r="L999" t="str">
        <v>חומר</v>
      </c>
      <c r="M999" t="str">
        <v>כמות ק''ג</v>
      </c>
    </row>
    <row r="1000">
      <c r="A1000" t="str">
        <v>הכנס חומרים לאט ופזר היטב. הפעל 5 דקות דספרסיה בין הכנסת כל חומר. וודא שאין קצף לפני המעבר לשלב הבא. עבוד במהירות בF10</v>
      </c>
      <c r="C1000" t="str">
        <v>water</v>
      </c>
      <c r="D1000" s="1">
        <v>0.1418</v>
      </c>
      <c r="E1000" s="2">
        <f>(E1015*D1000)</f>
        <v>155.98000000000002</v>
      </c>
      <c r="I1000" t="str">
        <v>הכנס חומרים לאט ופזר היטב. הפעל 5 דקות דספרסיה בין הכנסת כל חומר. וודא שאין קצף לפני המעבר לשלב הבא. עבוד במהירות בF10</v>
      </c>
      <c r="K1000" t="str">
        <v>water</v>
      </c>
      <c r="L1000" s="1">
        <v>0.1491</v>
      </c>
      <c r="M1000" s="2">
        <f>(M1015*L1000)</f>
        <v>149.10000000000002</v>
      </c>
    </row>
    <row r="1001">
      <c r="C1001" t="str">
        <v>Vinkocide CMIF</v>
      </c>
      <c r="D1001" s="1">
        <v>0.004</v>
      </c>
      <c r="E1001" s="2">
        <f>(E1015*D1001)</f>
        <v>4.4</v>
      </c>
      <c r="K1001" t="str">
        <v>Vinkocide CMIF</v>
      </c>
      <c r="L1001" s="1">
        <v>0.004</v>
      </c>
      <c r="M1001" s="2">
        <f>(M1015*L1001)</f>
        <v>4</v>
      </c>
    </row>
    <row r="1002">
      <c r="C1002" t="str">
        <v>Levasil CC401</v>
      </c>
      <c r="D1002" s="1">
        <v>0.015</v>
      </c>
      <c r="E1002" s="2">
        <f>(E1015*D1002)</f>
        <v>16.5</v>
      </c>
      <c r="K1002" t="str">
        <v>Levasil CC401</v>
      </c>
      <c r="L1002" s="1">
        <v>0.01</v>
      </c>
      <c r="M1002" s="2">
        <f>(M1015*L1002)</f>
        <v>10</v>
      </c>
    </row>
    <row r="1003">
      <c r="C1003" t="str">
        <v>OROTAN 731</v>
      </c>
      <c r="D1003" s="1">
        <v>0.004</v>
      </c>
      <c r="E1003" s="2">
        <f>(E1015*D1003)</f>
        <v>4.4</v>
      </c>
      <c r="K1003" t="str">
        <v>OROTAN 731</v>
      </c>
      <c r="L1003" s="1">
        <v>0.004</v>
      </c>
      <c r="M1003" s="2">
        <f>(M1015*L1003)</f>
        <v>4</v>
      </c>
    </row>
    <row r="1004">
      <c r="C1004" t="str">
        <v>AGITAN 80</v>
      </c>
      <c r="D1004" s="1">
        <v>0.001</v>
      </c>
      <c r="E1004" s="2">
        <f>(E1015*D1004)</f>
        <v>1.1</v>
      </c>
      <c r="K1004" t="str">
        <v>AGITAN 80</v>
      </c>
      <c r="L1004" s="1">
        <v>0.001</v>
      </c>
      <c r="M1004" s="2">
        <f>(M1015*L1004)</f>
        <v>1</v>
      </c>
    </row>
    <row r="1005">
      <c r="C1005" t="str">
        <v>COMBIZELL</v>
      </c>
      <c r="D1005" s="1">
        <v>0.0022</v>
      </c>
      <c r="E1005" s="2">
        <f>(E1015*D1005)</f>
        <v>2.42</v>
      </c>
      <c r="K1005" t="str">
        <v>COMBIZELL</v>
      </c>
      <c r="L1005" s="1">
        <v>0.0019</v>
      </c>
      <c r="M1005" s="2">
        <f>(M1015*L1005)</f>
        <v>1.9</v>
      </c>
    </row>
    <row r="1006">
      <c r="C1006" t="str">
        <v>AGITAN 80</v>
      </c>
      <c r="D1006" s="1">
        <v>0.001</v>
      </c>
      <c r="E1006" s="2">
        <f>(E1015*D1006)</f>
        <v>1.1</v>
      </c>
      <c r="K1006" t="str">
        <v>AGITAN 80</v>
      </c>
      <c r="L1006" s="1">
        <v>0.001</v>
      </c>
      <c r="M1006" s="2">
        <f>(M1015*L1006)</f>
        <v>1</v>
      </c>
    </row>
    <row r="1007">
      <c r="A1007" t="str">
        <v>הכנס ללא גושים ובסיום דספרסיה 5 דקות  בF 13</v>
      </c>
      <c r="C1007" t="str">
        <v>TIONA 826</v>
      </c>
      <c r="D1007" s="1">
        <v>0.12</v>
      </c>
      <c r="E1007" s="2">
        <f>(E1015*D1007)</f>
        <v>132</v>
      </c>
      <c r="I1007" t="str">
        <v>הכנס ללא גושים ובסיום דספרסיה 10דקות  בF 20</v>
      </c>
      <c r="K1007" t="str">
        <v>TIONA 826</v>
      </c>
      <c r="L1007" s="1">
        <v>0.12</v>
      </c>
      <c r="M1007" s="2">
        <f>(M1015*L1007)</f>
        <v>120</v>
      </c>
    </row>
    <row r="1008">
      <c r="A1008" t="str">
        <v>הכנס ללא גושים ובסיום דספרסיה 5 דקות  בF 15</v>
      </c>
      <c r="C1008" t="str">
        <v xml:space="preserve"> CHARMOR PM 40</v>
      </c>
      <c r="D1008" s="1">
        <v>0.0925</v>
      </c>
      <c r="E1008" s="2">
        <f>(E1015*D1008)</f>
        <v>101.75</v>
      </c>
      <c r="I1008" t="str">
        <v>הכנס ללא גושים ובסיום דספרסיה 10דקות  בF 20</v>
      </c>
      <c r="K1008" t="str">
        <v xml:space="preserve"> CHARMOR PM 40</v>
      </c>
      <c r="L1008" s="1">
        <v>0.0925</v>
      </c>
      <c r="M1008" s="2">
        <f>(M1015*L1008)</f>
        <v>92.5</v>
      </c>
    </row>
    <row r="1009">
      <c r="A1009" t="str">
        <v>הכנס ללא גושים ובסיום דספרסיה 5 דקות  בF 18</v>
      </c>
      <c r="C1009" t="str">
        <v>MELAFINE</v>
      </c>
      <c r="D1009" s="1">
        <v>0.0925</v>
      </c>
      <c r="E1009" s="2">
        <f>(E1015*D1009)</f>
        <v>101.75</v>
      </c>
      <c r="I1009" t="str">
        <v>הכנס ללא גושים ובסיום דספרסיה 10 דקות  בF 20</v>
      </c>
      <c r="K1009" t="str">
        <v>MELAFINE</v>
      </c>
      <c r="L1009" s="1">
        <v>0.0925</v>
      </c>
      <c r="M1009" s="2">
        <f>(M1015*L1009)</f>
        <v>92.5</v>
      </c>
    </row>
    <row r="1010">
      <c r="A1010" t="str">
        <v>הכנס בזרם דק עד להומוגניות  בF 15</v>
      </c>
      <c r="C1010" s="3" t="str">
        <v>Texanol</v>
      </c>
      <c r="D1010" s="1">
        <v>0.005</v>
      </c>
      <c r="E1010" s="2">
        <f>(E1015*D1010)</f>
        <v>5.5</v>
      </c>
      <c r="I1010" t="str">
        <v>הכנס בזרם דק עד להומוגניות  בF 20</v>
      </c>
      <c r="K1010" s="3" t="str">
        <v>Texanol</v>
      </c>
      <c r="L1010" s="1">
        <v>0.013</v>
      </c>
      <c r="M1010" s="2">
        <f>(M1015*L1010)</f>
        <v>13</v>
      </c>
    </row>
    <row r="1011" ht="27.600000000000005" customHeight="1">
      <c r="A1011" t="str">
        <v>הכנס ללא גושים  ב F18 עליה ל F21 ובסיום דספרסיה במשך 5 דקות . שים לב שלא יתחמם מידי</v>
      </c>
      <c r="C1011" s="3" t="str">
        <v>FR CROS 487</v>
      </c>
      <c r="D1011" s="1">
        <v>0.25</v>
      </c>
      <c r="E1011" s="2">
        <f>(E1015*D1011)</f>
        <v>275</v>
      </c>
      <c r="I1011" t="str">
        <v>הכנס ללא גושים  ב F18 עליה ל F21 ובסיום דספרסיה במשך10 דקות . שים לב שלא יתחמם מידי</v>
      </c>
      <c r="K1011" s="3" t="str">
        <v>FR CROS 487</v>
      </c>
      <c r="L1011" s="1">
        <v>0.25</v>
      </c>
      <c r="M1011" s="2">
        <f>(M1015*L1011)</f>
        <v>250</v>
      </c>
    </row>
    <row r="1012">
      <c r="A1012" t="str">
        <v>להכניס לאט ובהדרגה  לפוזור מלא ב12 F</v>
      </c>
      <c r="C1012" s="3" t="str">
        <v>Lapinus CF 10</v>
      </c>
      <c r="D1012" s="1">
        <v>0.03</v>
      </c>
      <c r="E1012" s="2">
        <f>(E1015*D1012)</f>
        <v>33</v>
      </c>
      <c r="I1012" t="str">
        <v>להכניס לאט ובהדרגה  לפוזור מלא ללא גושים  ב20 F</v>
      </c>
      <c r="K1012" s="3" t="str">
        <v>Lapinus CF 10</v>
      </c>
      <c r="L1012" s="1">
        <v>0.03</v>
      </c>
      <c r="M1012" s="2">
        <f>(M1015*L1012)</f>
        <v>30</v>
      </c>
    </row>
    <row r="1013">
      <c r="A1013" t="str">
        <v>הכנס בזרם דק עד להומוגניות  בF 12  לאחר מכן הכנס אגיטן ובסיום המשך 7 דקות ערבול</v>
      </c>
      <c r="C1013" s="3" t="str">
        <v>VINNAPAS EZ 3019</v>
      </c>
      <c r="D1013" s="1">
        <v>0.24</v>
      </c>
      <c r="E1013" s="2">
        <f>(E1015*D1013)</f>
        <v>264</v>
      </c>
      <c r="I1013" t="str">
        <v>הכנס בזרם דק עד להומוגניות  בF 12  לאחר מכן הכנס אגיטן ובסיום המשך 7 דקות ערבול</v>
      </c>
      <c r="K1013" s="3" t="str">
        <v>ENCOR 2394</v>
      </c>
      <c r="L1013" s="1">
        <v>0.23</v>
      </c>
      <c r="M1013" s="2">
        <f>(M1015*L1013)</f>
        <v>230</v>
      </c>
    </row>
    <row r="1014">
      <c r="C1014" s="3" t="str">
        <v>AGITAN 80</v>
      </c>
      <c r="D1014" s="1">
        <v>0.001</v>
      </c>
      <c r="E1014" s="2">
        <f>(E1015*D1014)</f>
        <v>1.1</v>
      </c>
      <c r="K1014" s="3" t="str">
        <v>AGITAN 80</v>
      </c>
      <c r="L1014" s="1">
        <v>0.001</v>
      </c>
      <c r="M1014" s="2">
        <f>(M1015*L1014)</f>
        <v>1</v>
      </c>
    </row>
    <row r="1015">
      <c r="D1015" s="4">
        <f>SUM(D1000:D1014)</f>
        <v>1</v>
      </c>
      <c r="E1015" s="2">
        <v>1100</v>
      </c>
      <c r="L1015" s="4">
        <f>SUM(L1000:L1014)</f>
        <v>1</v>
      </c>
      <c r="M1015" s="2">
        <v>1000</v>
      </c>
    </row>
    <row r="1016">
      <c r="E1016" s="2">
        <f>SUM(E1000:E1014)</f>
        <v>1100</v>
      </c>
      <c r="M1016" s="2">
        <f>SUM(M1000:M1014)</f>
        <v>1000</v>
      </c>
    </row>
    <row r="1020">
      <c r="A1020" t="str">
        <v xml:space="preserve">            28.02.2024-071   Fresco INTUMESCENT</v>
      </c>
      <c r="I1020" t="str">
        <v xml:space="preserve">          05.03.2024-072   Fresco INTUMESCENT</v>
      </c>
    </row>
    <row r="1021">
      <c r="A1021" t="str">
        <v xml:space="preserve">   על בסיס   058     Levasil CC401 1%      24.5 %VINNAPAS EZ 3019 ללא טקסנול  - עליה במסמיך</v>
      </c>
      <c r="I1021" t="str">
        <v xml:space="preserve">   על בסיס   058     Levasil CC401 1.%      24.4 %VINNAPAS EZ 3019 עם טקסנול הגדלת אורוטן  אגיטן  והקטנת מוצקים ל 70.8% למינעת סדיקה</v>
      </c>
    </row>
    <row r="1022">
      <c r="A1022" t="str">
        <v>הוראות יצור</v>
      </c>
      <c r="B1022" t="str">
        <v>שעה - הערות</v>
      </c>
      <c r="D1022" t="str">
        <v>חומר</v>
      </c>
      <c r="E1022" t="str">
        <v>כמות ק''ג</v>
      </c>
      <c r="I1022" t="str">
        <v>הוראות יצור</v>
      </c>
      <c r="J1022" t="str">
        <v>שעה - הערות</v>
      </c>
      <c r="L1022" t="str">
        <v>חומר</v>
      </c>
      <c r="M1022" t="str">
        <v>כמות ק''ג</v>
      </c>
    </row>
    <row r="1023" ht="15" customHeight="1">
      <c r="A1023" t="str">
        <v>הכנס חומרים לאט ופזר היטב. הפעל 5 דקות דספרסיה בין הכנסת כל חומר. וודא שאין קצף לפני המעבר לשלב הבא. עבוד במהירות בF10</v>
      </c>
      <c r="C1023" t="str">
        <v>water</v>
      </c>
      <c r="D1023" s="1">
        <v>0.1362</v>
      </c>
      <c r="E1023" s="2">
        <f>(E1038*D1023)</f>
        <v>149.82</v>
      </c>
      <c r="I1023" t="str">
        <v>הכנס חומרים לאט ופזר היטב. הפעל 5 דקות דספרסיה בין הכנסת כל חומר. וודא שאין קצף לפני המעבר לשלב הבא. עבוד במהירות בF10</v>
      </c>
      <c r="K1023" t="str">
        <v>water</v>
      </c>
      <c r="L1023" s="1">
        <v>0.1418</v>
      </c>
      <c r="M1023" s="2">
        <f>(M1038*L1023)</f>
        <v>155.98000000000002</v>
      </c>
    </row>
    <row r="1024">
      <c r="C1024" t="str">
        <v>Levasil CC401</v>
      </c>
      <c r="D1024" s="1">
        <v>0.01</v>
      </c>
      <c r="E1024" s="2">
        <f>(E1038*D1024)</f>
        <v>11</v>
      </c>
      <c r="K1024" t="str">
        <v>Vinkocide CMIF</v>
      </c>
      <c r="L1024" s="1">
        <v>0.004</v>
      </c>
      <c r="M1024" s="2">
        <f>(M1038*L1024)</f>
        <v>4.4</v>
      </c>
    </row>
    <row r="1025">
      <c r="C1025" t="str">
        <v>OROTAN 731</v>
      </c>
      <c r="D1025" s="4">
        <v>0.0016</v>
      </c>
      <c r="E1025" s="2">
        <f>(E1038*D1025)</f>
        <v>1.76</v>
      </c>
      <c r="K1025" t="str">
        <v>Levasil CC401</v>
      </c>
      <c r="L1025" s="1">
        <v>0.01</v>
      </c>
      <c r="M1025" s="2">
        <f>(M1038*L1025)</f>
        <v>11</v>
      </c>
    </row>
    <row r="1026">
      <c r="C1026" t="str">
        <v>AGITAN 80</v>
      </c>
      <c r="D1026" s="4">
        <v>0.001</v>
      </c>
      <c r="E1026" s="2">
        <f>(E1038*D1026)</f>
        <v>1.1</v>
      </c>
      <c r="K1026" t="str">
        <v>OROTAN 731</v>
      </c>
      <c r="L1026" s="1">
        <v>0.004</v>
      </c>
      <c r="M1026" s="2">
        <f>(M1038*L1026)</f>
        <v>4.4</v>
      </c>
    </row>
    <row r="1027">
      <c r="C1027" t="str">
        <v>Biocide CMIF</v>
      </c>
      <c r="D1027" s="1">
        <v>0.0017</v>
      </c>
      <c r="E1027" s="2">
        <f>(E1038*D1027)</f>
        <v>1.8699999999999999</v>
      </c>
      <c r="K1027" t="str">
        <v>AGITAN 80</v>
      </c>
      <c r="L1027" s="1">
        <v>0.001</v>
      </c>
      <c r="M1027" s="2">
        <f>(M1038*L1027)</f>
        <v>1.1</v>
      </c>
    </row>
    <row r="1028">
      <c r="C1028" t="str">
        <v>COMBIZELL</v>
      </c>
      <c r="D1028" s="1">
        <v>0.0025</v>
      </c>
      <c r="E1028" s="2">
        <f>(E1038*D1028)</f>
        <v>2.75</v>
      </c>
      <c r="K1028" t="str">
        <v>COMBIZELL</v>
      </c>
      <c r="L1028" s="1">
        <v>0.0022</v>
      </c>
      <c r="M1028" s="2">
        <f>(M1038*L1028)</f>
        <v>2.42</v>
      </c>
    </row>
    <row r="1029">
      <c r="C1029" t="str">
        <v>AGITAN 80</v>
      </c>
      <c r="D1029" s="1">
        <v>0.001</v>
      </c>
      <c r="E1029" s="2">
        <f>(E1038*D1029)</f>
        <v>1.1</v>
      </c>
      <c r="K1029" t="str">
        <v>AGITAN 80</v>
      </c>
      <c r="L1029" s="1">
        <v>0.001</v>
      </c>
      <c r="M1029" s="2">
        <f>(M1038*L1029)</f>
        <v>1.1</v>
      </c>
    </row>
    <row r="1030">
      <c r="A1030" t="str">
        <v>הכנס ללא גושים ובסיום דספרסיה 5 דקות  בF 13</v>
      </c>
      <c r="C1030" t="str">
        <v>TIONA 826</v>
      </c>
      <c r="D1030" s="1">
        <v>0.12</v>
      </c>
      <c r="E1030" s="2">
        <f>(E1038*D1030)</f>
        <v>132</v>
      </c>
      <c r="I1030" t="str">
        <v>הכנס ללא גושים ובסיום דספרסיה 5 דקות  בF 13</v>
      </c>
      <c r="K1030" t="str">
        <v>TIONA 826</v>
      </c>
      <c r="L1030" s="1">
        <v>0.118</v>
      </c>
      <c r="M1030" s="2">
        <f>(M1038*L1030)</f>
        <v>129.79999999999998</v>
      </c>
    </row>
    <row r="1031">
      <c r="A1031" t="str">
        <v>הכנס ללא גושים ובסיום דספרסיה 5 דקות  בF 15</v>
      </c>
      <c r="C1031" t="str">
        <v xml:space="preserve"> CHARMOR PM 40</v>
      </c>
      <c r="D1031" s="1">
        <v>0.1</v>
      </c>
      <c r="E1031" s="2">
        <f>(E1038*D1031)</f>
        <v>110</v>
      </c>
      <c r="I1031" t="str">
        <v>הכנס ללא גושים ובסיום דספרסיה 5 דקות  בF 15</v>
      </c>
      <c r="K1031" t="str">
        <v xml:space="preserve"> CHARMOR PM 40</v>
      </c>
      <c r="L1031" s="1">
        <v>0.094</v>
      </c>
      <c r="M1031" s="2">
        <f>(M1038*L1031)</f>
        <v>103.4</v>
      </c>
    </row>
    <row r="1032">
      <c r="A1032" t="str">
        <v>הכנס ללא גושים ובסיום דספרסיה 5 דקות  בF 18</v>
      </c>
      <c r="C1032" t="str">
        <v>MELAFINE</v>
      </c>
      <c r="D1032" s="1">
        <v>0.1</v>
      </c>
      <c r="E1032" s="2">
        <f>(E1038*D1032)</f>
        <v>110</v>
      </c>
      <c r="I1032" t="str">
        <v>הכנס ללא גושים ובסיום דספרסיה 5 דקות  בF 18</v>
      </c>
      <c r="K1032" t="str">
        <v>MELAFINE</v>
      </c>
      <c r="L1032" s="1">
        <v>0.094</v>
      </c>
      <c r="M1032" s="2">
        <f>(M1038*L1032)</f>
        <v>103.4</v>
      </c>
    </row>
    <row r="1033">
      <c r="A1033" t="str">
        <v>הכנס בזרם דק עד להומוגניות  בF 15</v>
      </c>
      <c r="C1033" s="3" t="str">
        <v>Texanol</v>
      </c>
      <c r="D1033" s="1">
        <v>0</v>
      </c>
      <c r="E1033" s="2">
        <f>(E1038*D1033)</f>
        <v>0</v>
      </c>
      <c r="I1033" t="str">
        <v>הכנס בזרם דק עד להומוגניות  בF 15</v>
      </c>
      <c r="K1033" s="3" t="str">
        <v>Texanol</v>
      </c>
      <c r="L1033" s="1">
        <v>0.005</v>
      </c>
      <c r="M1033" s="2">
        <f>(M1038*L1033)</f>
        <v>5.5</v>
      </c>
    </row>
    <row r="1034" ht="27.600000000000005" customHeight="1">
      <c r="A1034" t="str">
        <v>הכנס ללא גושים  ב F18 עליה ל F21 ובסיום דספרסיה במשך 5 דקות . שים לב שלא יתחמם מידי</v>
      </c>
      <c r="C1034" s="3" t="str">
        <v>FR CROS 487</v>
      </c>
      <c r="D1034" s="1">
        <v>0.25</v>
      </c>
      <c r="E1034" s="2">
        <f>(E1038*D1034)</f>
        <v>275</v>
      </c>
      <c r="I1034" t="str">
        <v>הכנס ללא גושים  ב F18 עליה ל F21 ובסיום דספרסיה במשך 5 דקות . שים לב שלא יתחמם מידי</v>
      </c>
      <c r="K1034" s="3" t="str">
        <v>FR CROS 487</v>
      </c>
      <c r="L1034" s="1">
        <v>0.25</v>
      </c>
      <c r="M1034" s="2">
        <f>(M1038*L1034)</f>
        <v>275</v>
      </c>
    </row>
    <row r="1035">
      <c r="A1035" t="str">
        <v>להכניס לאט ובהדרגה  לפוזור מלא ב12 F</v>
      </c>
      <c r="C1035" s="3" t="str">
        <v>Lapinus CF 10</v>
      </c>
      <c r="D1035" s="1">
        <v>0.03</v>
      </c>
      <c r="E1035" s="2">
        <f>(E1038*D1035)</f>
        <v>33</v>
      </c>
      <c r="I1035" t="str">
        <v>להכניס לאט ובהדרגה  לפוזור מלא ב12 F</v>
      </c>
      <c r="K1035" s="3" t="str">
        <v>Lapinus CF 10</v>
      </c>
      <c r="L1035" s="1">
        <v>0.03</v>
      </c>
      <c r="M1035" s="2">
        <f>(M1038*L1035)</f>
        <v>33</v>
      </c>
    </row>
    <row r="1036" ht="15" customHeight="1">
      <c r="A1036" t="str">
        <v>הכנס בזרם דק עד להומוגניות  בF 12  לאחר מכן הכנס אגיטן ובסיום המשך 7 דקות ערבול</v>
      </c>
      <c r="C1036" s="3" t="str">
        <v>VINNAPAS EZ 3019</v>
      </c>
      <c r="D1036" s="1">
        <v>0.245</v>
      </c>
      <c r="E1036" s="2">
        <f>(E1038*D1036)</f>
        <v>269.5</v>
      </c>
      <c r="I1036" t="str">
        <v>הכנס בזרם דק עד להומוגניות  בF 12  לאחר מכן הכנס אגיטן ובסיום המשך 7 דקות ערבול</v>
      </c>
      <c r="K1036" s="3" t="str">
        <v>VINNAPAS EZ 3019</v>
      </c>
      <c r="L1036" s="1">
        <v>0.244</v>
      </c>
      <c r="M1036" s="2">
        <f>(M1038*L1036)</f>
        <v>268.4</v>
      </c>
    </row>
    <row r="1037">
      <c r="C1037" s="3" t="str">
        <v>AGITAN 80</v>
      </c>
      <c r="D1037" s="1">
        <v>0.001</v>
      </c>
      <c r="E1037" s="2">
        <f>(E1038*D1037)</f>
        <v>1.1</v>
      </c>
      <c r="K1037" s="3" t="str">
        <v>AGITAN 80</v>
      </c>
      <c r="L1037" s="1">
        <v>0.001</v>
      </c>
      <c r="M1037" s="2">
        <f>(M1038*L1037)</f>
        <v>1.1</v>
      </c>
    </row>
    <row r="1038">
      <c r="D1038" s="4">
        <f>SUM(D1023:D1037)</f>
        <v>1</v>
      </c>
      <c r="E1038" s="2">
        <v>1100</v>
      </c>
      <c r="L1038" s="4">
        <f>SUM(L1023:L1037)</f>
        <v>1</v>
      </c>
      <c r="M1038" s="2">
        <v>1100</v>
      </c>
    </row>
    <row r="1039">
      <c r="E1039" s="2">
        <f>SUM(E1023:E1037)</f>
        <v>1100</v>
      </c>
      <c r="M1039" s="2">
        <f>SUM(M1023:M1037)</f>
        <v>1100</v>
      </c>
    </row>
    <row r="1042">
      <c r="A1042" t="str">
        <v xml:space="preserve">            07.03.2024-073   Fresco INTUMESCENT</v>
      </c>
      <c r="I1042" t="str">
        <v xml:space="preserve">            10.03.2024-074   Fresco INTUMESCENT</v>
      </c>
    </row>
    <row r="1043" ht="17.4" customHeight="1">
      <c r="A1043" t="str">
        <v xml:space="preserve">   על בסיס   058     Levasil CC401 2%      24.3 %VINNAPAS EZ 3019 עם טקסנול  - אין עליה במסמיך, עליה ב10 CF</v>
      </c>
      <c r="I1043" t="str">
        <v xml:space="preserve">   על בסיס    063 058     Levasil CC401 1%      24.5 %VINNAPAS EZ 3019 ללא טקסנול  - עליה במסמיך הכנה בקרית גת</v>
      </c>
    </row>
    <row r="1044">
      <c r="A1044" t="str">
        <v>הוראות יצור</v>
      </c>
      <c r="B1044" t="str">
        <v>שעה - הערות</v>
      </c>
      <c r="D1044" t="str">
        <v>חומר</v>
      </c>
      <c r="E1044" t="str">
        <v>כמות ק''ג</v>
      </c>
      <c r="I1044" t="str">
        <v>הוראות יצור</v>
      </c>
      <c r="J1044" t="str">
        <v>שעה, טמפר' - הערות</v>
      </c>
      <c r="L1044" t="str">
        <v>חומר</v>
      </c>
      <c r="M1044" t="str">
        <v>כמות ק''ג</v>
      </c>
    </row>
    <row r="1045">
      <c r="A1045" t="str">
        <v>הכנס חומרים לאט ופזר היטב. הפעל 5 דקות דספרסיה בין הכנסת כל חומר. וודא שאין קצף לפני המעבר לשלב הבא. עבוד במהירות בF10</v>
      </c>
      <c r="C1045" t="str">
        <v>water</v>
      </c>
      <c r="D1045" s="1">
        <v>0.1384</v>
      </c>
      <c r="E1045" s="2">
        <f>(E1060*D1045)</f>
        <v>152.23999999999998</v>
      </c>
      <c r="I1045" t="str">
        <v>הכנס חומרים לאט ופזר היטב. הפעל 5 דקות דספרסיה אחרי אורוטן ואחרי קומביזל. וודא שאין קצף לפני המעבר לשלב הבא. עבוד במהירות _______</v>
      </c>
      <c r="K1045" t="str">
        <v>water</v>
      </c>
      <c r="L1045" s="1">
        <v>0.1445</v>
      </c>
      <c r="M1045" s="2">
        <f>(M1062*L1045)</f>
        <v>158.95</v>
      </c>
    </row>
    <row r="1046" ht="15" customHeight="1">
      <c r="C1046" t="str">
        <v>Levasil CC401</v>
      </c>
      <c r="D1046" s="1">
        <v>0.02</v>
      </c>
      <c r="E1046" s="2">
        <f>(E1060*D1046)</f>
        <v>22</v>
      </c>
      <c r="K1046" t="str">
        <v>Levasil CC401</v>
      </c>
      <c r="L1046" s="1">
        <v>0.02</v>
      </c>
      <c r="M1046" s="2">
        <f>(M1062*L1046)</f>
        <v>22</v>
      </c>
    </row>
    <row r="1047">
      <c r="C1047" t="str">
        <v>OROTAN 731</v>
      </c>
      <c r="D1047" s="4">
        <v>0.002</v>
      </c>
      <c r="E1047" s="2">
        <f>(E1060*D1047)</f>
        <v>2.2</v>
      </c>
      <c r="K1047" t="str">
        <v>OROTAN 731</v>
      </c>
      <c r="L1047" s="4">
        <v>0.0016</v>
      </c>
      <c r="M1047" s="2">
        <f>(M1062*L1047)</f>
        <v>1.76</v>
      </c>
    </row>
    <row r="1048">
      <c r="C1048" t="str">
        <v>AGITAN 80</v>
      </c>
      <c r="D1048" s="4">
        <v>0.001</v>
      </c>
      <c r="E1048" s="2">
        <f>(E1060*D1048)</f>
        <v>1.1</v>
      </c>
      <c r="K1048" t="str">
        <v>AGITAN 80</v>
      </c>
      <c r="L1048" s="4">
        <v>0.001</v>
      </c>
      <c r="M1048" s="2">
        <f>(M1062*L1048)</f>
        <v>1.1</v>
      </c>
    </row>
    <row r="1049">
      <c r="C1049" t="str">
        <v>Biocide CMIF</v>
      </c>
      <c r="D1049" s="1">
        <v>0.0017</v>
      </c>
      <c r="E1049" s="2">
        <f>(E1060*D1049)</f>
        <v>1.8699999999999999</v>
      </c>
      <c r="K1049" t="str">
        <v>Biocide CMIF</v>
      </c>
      <c r="L1049" s="1">
        <v>0.0017</v>
      </c>
      <c r="M1049" s="2">
        <f>(M1062*L1049)</f>
        <v>1.8699999999999999</v>
      </c>
    </row>
    <row r="1050">
      <c r="C1050" t="str">
        <v>COMBIZELL</v>
      </c>
      <c r="D1050" s="1">
        <v>0.0019</v>
      </c>
      <c r="E1050" s="2">
        <f>(E1060*D1050)</f>
        <v>2.09</v>
      </c>
      <c r="K1050" t="str">
        <v>COMBIZELL</v>
      </c>
      <c r="L1050" s="1">
        <v>0.0022</v>
      </c>
      <c r="M1050" s="2">
        <f>(M1062*L1050)</f>
        <v>2.42</v>
      </c>
    </row>
    <row r="1051">
      <c r="C1051" t="str">
        <v>AGITAN 80</v>
      </c>
      <c r="D1051" s="1">
        <v>0.001</v>
      </c>
      <c r="E1051" s="2">
        <f>(E1060*D1051)</f>
        <v>1.1</v>
      </c>
      <c r="K1051" t="str">
        <v>AGITAN 80</v>
      </c>
      <c r="L1051" s="1">
        <v>0.001</v>
      </c>
      <c r="M1051" s="2">
        <f>(M1062*L1051)</f>
        <v>1.1</v>
      </c>
    </row>
    <row r="1052" ht="27.600000000000005" customHeight="1">
      <c r="A1052" t="str">
        <v>הכנס ללא גושים ובסיום דספרסיה 5 דקות  בF 13</v>
      </c>
      <c r="C1052" t="str">
        <v>TIONA 826</v>
      </c>
      <c r="D1052" s="1">
        <v>0.117</v>
      </c>
      <c r="E1052" s="2">
        <f>(E1060*D1052)</f>
        <v>128.70000000000002</v>
      </c>
      <c r="I1052" t="str">
        <v>הכנס ללא גושים ובסיום דספרסיה 5 דקות  ב_______________</v>
      </c>
      <c r="K1052" t="str">
        <v>TIONA 826</v>
      </c>
      <c r="L1052" s="1">
        <v>0.119</v>
      </c>
      <c r="M1052" s="2">
        <f>(M1062*L1052)</f>
        <v>130.9</v>
      </c>
    </row>
    <row r="1053" ht="27.600000000000005" customHeight="1">
      <c r="A1053" t="str">
        <v>הכנס ללא גושים ובסיום דספרסיה 5 דקות  בF 15</v>
      </c>
      <c r="C1053" t="str">
        <v xml:space="preserve"> CHARMOR PM 40</v>
      </c>
      <c r="D1053" s="1">
        <v>0.093</v>
      </c>
      <c r="E1053" s="2">
        <f>(E1060*D1053)</f>
        <v>102.3</v>
      </c>
      <c r="I1053" t="str">
        <v>הכנס ללא גושים ובסיום דספרסיה 5 דקות  בF_______________</v>
      </c>
      <c r="K1053" t="str">
        <v xml:space="preserve"> CHARMOR PM 40</v>
      </c>
      <c r="L1053" s="1">
        <v>0.0945</v>
      </c>
      <c r="M1053" s="2">
        <f>(M1062*L1053)</f>
        <v>103.95</v>
      </c>
    </row>
    <row r="1054" ht="27.600000000000005" customHeight="1">
      <c r="A1054" t="str">
        <v>הכנס ללא גושים ובסיום דספרסיה 5 דקות  בF 18</v>
      </c>
      <c r="C1054" t="str">
        <v>MELAFINE</v>
      </c>
      <c r="D1054" s="1">
        <v>0.093</v>
      </c>
      <c r="E1054" s="2">
        <f>(E1060*D1054)</f>
        <v>102.3</v>
      </c>
      <c r="I1054" t="str">
        <v>הכנס ללא גושים ובסיום דספרסיה 5 דקות  ב_______________</v>
      </c>
      <c r="K1054" t="str">
        <v>MELAFINE</v>
      </c>
      <c r="L1054" s="1">
        <v>0.0945</v>
      </c>
      <c r="M1054" s="2">
        <f>(M1062*L1054)</f>
        <v>103.95</v>
      </c>
    </row>
    <row r="1055">
      <c r="A1055" t="str">
        <v>הכנס בזרם דק עד להומוגניות  בF 15</v>
      </c>
      <c r="C1055" s="3" t="str">
        <v>Texanol</v>
      </c>
      <c r="D1055" s="1">
        <v>0.005</v>
      </c>
      <c r="E1055" s="2">
        <f>(E1060*D1055)</f>
        <v>5.5</v>
      </c>
      <c r="I1055" t="str">
        <v>הכנס בזרם דק עד להומוגניות  ב____</v>
      </c>
      <c r="K1055" s="3" t="str">
        <v>Texanol</v>
      </c>
      <c r="L1055" s="1">
        <v>0.005</v>
      </c>
      <c r="M1055" s="2">
        <f>(M1062*L1055)</f>
        <v>5.5</v>
      </c>
    </row>
    <row r="1056" ht="27.600000000000005" customHeight="1">
      <c r="A1056" t="str">
        <v>הכנס ללא גושים  ב F18 עליה ל F21 ובסיום דספרסיה במשך 5 דקות . שים לב שלא יתחמם מידי</v>
      </c>
      <c r="C1056" s="3" t="str">
        <v>FR CROS 487</v>
      </c>
      <c r="D1056" s="1">
        <v>0.247</v>
      </c>
      <c r="E1056" s="2">
        <f>(E1060*D1056)</f>
        <v>271.7</v>
      </c>
      <c r="I1056" t="str">
        <v>הכנס ללא גושים  ב _______  . שים לב שלא יתחמם מידי</v>
      </c>
      <c r="K1056" s="3" t="str">
        <v>FR CROS 487</v>
      </c>
      <c r="L1056" s="1">
        <v>0.162</v>
      </c>
      <c r="M1056" s="2">
        <f>(M1062*L1056)</f>
        <v>178.20000000000002</v>
      </c>
    </row>
    <row r="1057">
      <c r="A1057" t="str">
        <v>להכניס לאט ובהדרגה  לפוזור מלא ב12 F</v>
      </c>
      <c r="C1057" s="3" t="str">
        <v>Lapinus CF 10</v>
      </c>
      <c r="D1057" s="1">
        <v>0.035</v>
      </c>
      <c r="E1057" s="2">
        <f>(E1060*D1057)</f>
        <v>38.50000000000001</v>
      </c>
      <c r="I1057" t="str">
        <v xml:space="preserve">להכניס לאט ובהדרגה  לפוזור מלא </v>
      </c>
      <c r="K1057" s="3" t="str">
        <v>VINNAPAS EZ 3019</v>
      </c>
      <c r="L1057" s="1">
        <v>0.07</v>
      </c>
      <c r="M1057" s="2">
        <f>(M1062*L1057)</f>
        <v>77.00000000000001</v>
      </c>
    </row>
    <row r="1058" ht="27.600000000000005" customHeight="1">
      <c r="A1058" t="str">
        <v>הכנס בזרם דק עד להומוגניות  בF 12  לאחר מכן הכנס אגיטן ובסיום המשך 7 דקות ערבול</v>
      </c>
      <c r="C1058" s="3" t="str">
        <v>VINNAPAS EZ 3019</v>
      </c>
      <c r="D1058" s="1">
        <v>0.243</v>
      </c>
      <c r="E1058" s="2">
        <f>(E1060*D1058)</f>
        <v>267.3</v>
      </c>
      <c r="I1058" t="str">
        <v>הכנס ללא גושים  ב _______ ובסיום דספרסיה במשך 5 דקות . שים לב שלא יתחמם מידי</v>
      </c>
      <c r="K1058" s="3" t="str">
        <v>FR CROS 487</v>
      </c>
      <c r="L1058" s="1">
        <v>0.082</v>
      </c>
      <c r="M1058" s="2">
        <f>(M1062*L1058)</f>
        <v>90.2</v>
      </c>
    </row>
    <row r="1059" ht="27.600000000000005" customHeight="1">
      <c r="C1059" s="3" t="str">
        <v>AGITAN 80</v>
      </c>
      <c r="D1059" s="1">
        <v>0.001</v>
      </c>
      <c r="E1059" s="2">
        <f>(E1060*D1059)</f>
        <v>1.1</v>
      </c>
      <c r="I1059" t="str">
        <v>להכניס לאט ובהדרגה במהירות נמוכה  לפוזור מלא ב______________</v>
      </c>
      <c r="K1059" s="3" t="str">
        <v>Lapinus CF 10</v>
      </c>
      <c r="L1059" s="1">
        <v>0.03</v>
      </c>
      <c r="M1059" s="2">
        <f>(M1062*L1059)</f>
        <v>33</v>
      </c>
    </row>
    <row r="1060">
      <c r="D1060" s="4">
        <f>SUM(D1045:D1059)</f>
        <v>1</v>
      </c>
      <c r="E1060" s="2">
        <v>1100</v>
      </c>
      <c r="I1060" t="str">
        <v>הכנס בזרם דק עד להומוגניות  בF 12  לאחר מכן הכנס אגיטן ובסיום המשך 7 דקות ערבול</v>
      </c>
      <c r="K1060" s="3" t="str">
        <v>VINNAPAS EZ 3019</v>
      </c>
      <c r="L1060" s="1">
        <v>0.17</v>
      </c>
      <c r="M1060" s="2">
        <f>(M1062*L1060)</f>
        <v>187</v>
      </c>
    </row>
    <row r="1061">
      <c r="E1061" s="2">
        <f>SUM(E1045:E1059)</f>
        <v>1099.9999999999998</v>
      </c>
      <c r="K1061" s="3" t="str">
        <v>AGITAN 80</v>
      </c>
      <c r="L1061" s="1">
        <v>0.001</v>
      </c>
      <c r="M1061" s="2">
        <f>(M1062*L1061)</f>
        <v>1.1</v>
      </c>
    </row>
    <row r="1062">
      <c r="L1062" s="4">
        <f>SUM(L1045:L1061)</f>
        <v>1</v>
      </c>
      <c r="M1062" s="2">
        <v>1100</v>
      </c>
    </row>
    <row r="1063">
      <c r="M1063" s="2">
        <f>SUM(M1045:M1061)</f>
        <v>1100</v>
      </c>
    </row>
    <row r="1066">
      <c r="A1066" t="str">
        <v xml:space="preserve">            10.03.2024-075   Fresco INTUMESCENT</v>
      </c>
      <c r="I1066" t="str">
        <v xml:space="preserve">           13.03.2024-076     Fresco INTUMESCENT</v>
      </c>
    </row>
    <row r="1067" ht="17.4" customHeight="1">
      <c r="A1067" t="str">
        <v xml:space="preserve">   על בסיס    063 058     Levasil CC401 1%      24.5 %VINNAPAS EZ 3019 ללא טקסנול  - עליה במסמיך הכנה בקרית גת</v>
      </c>
      <c r="I1067" t="str">
        <v xml:space="preserve">   על בסיס  065 -  קלזן  (ADVA)הכנה  במפלסים - מערבל גדול ישן </v>
      </c>
    </row>
    <row r="1068">
      <c r="A1068" t="str">
        <v>הוראות יצור</v>
      </c>
      <c r="B1068" t="str">
        <v>שעה, טמפר' - הערות</v>
      </c>
      <c r="D1068" t="str">
        <v>חומר</v>
      </c>
      <c r="E1068" t="str">
        <v>כמות ק''ג</v>
      </c>
      <c r="I1068" t="str">
        <v>הוראות יצור</v>
      </c>
      <c r="J1068" t="str">
        <v>שעה - הערות</v>
      </c>
      <c r="L1068" t="str">
        <v>חומר</v>
      </c>
      <c r="M1068" t="str">
        <v>כמות ק''ג</v>
      </c>
    </row>
    <row r="1069">
      <c r="A1069" t="str">
        <v>הכנס חומרים לאט ופזר היטב. הפעל 5 דקות דספרסיה אחרי אורוטן ואחרי קומביזל. וודא שאין קצף לפני המעבר לשלב הבא. עבוד במהירות _______</v>
      </c>
      <c r="C1069" t="str">
        <v>water</v>
      </c>
      <c r="D1069" s="1">
        <v>0.1465</v>
      </c>
      <c r="E1069" s="2">
        <f>(E1088*D1069)</f>
        <v>146.5</v>
      </c>
      <c r="I1069" t="str">
        <v>הכנס חומרים לאט ופזר היטב. הפעל 5 דקות דספרסיה בין הכנסת כל חומר. וודא שאין קצף לפני המעבר לשלב הבא. עבוד במהירות בF10</v>
      </c>
      <c r="K1069" t="str">
        <v>water</v>
      </c>
      <c r="L1069" s="1">
        <v>0.1496</v>
      </c>
      <c r="M1069" s="2">
        <f>(M1086*L1069)</f>
        <v>149.60000000000002</v>
      </c>
    </row>
    <row r="1070" ht="15" customHeight="1">
      <c r="C1070" t="str">
        <v>Levasil CC401</v>
      </c>
      <c r="D1070" s="1">
        <v>0.02</v>
      </c>
      <c r="E1070" s="2">
        <f>(E1088*D1070)</f>
        <v>20</v>
      </c>
      <c r="K1070" t="str">
        <v>Vinkocide CMIF</v>
      </c>
      <c r="L1070" s="1">
        <v>0.004</v>
      </c>
      <c r="M1070" s="2">
        <f>(M1086*L1070)</f>
        <v>4</v>
      </c>
    </row>
    <row r="1071">
      <c r="C1071" t="str">
        <v>OROTAN 731</v>
      </c>
      <c r="D1071" s="4">
        <v>0.0016</v>
      </c>
      <c r="E1071" s="2">
        <f>(E1088*D1071)</f>
        <v>1.6</v>
      </c>
      <c r="K1071" t="str">
        <v>Levasil CC401</v>
      </c>
      <c r="L1071" s="1">
        <v>0.01</v>
      </c>
      <c r="M1071" s="2">
        <f>(M1086*L1071)</f>
        <v>10</v>
      </c>
    </row>
    <row r="1072">
      <c r="C1072" t="str">
        <v>AGITAN 80</v>
      </c>
      <c r="D1072" s="4">
        <v>0.001</v>
      </c>
      <c r="E1072" s="2">
        <f>(E1088*D1072)</f>
        <v>1</v>
      </c>
      <c r="K1072" t="str">
        <v>OROTAN 731</v>
      </c>
      <c r="L1072" s="1">
        <v>0.004</v>
      </c>
      <c r="M1072" s="2">
        <f>(M1086*L1072)</f>
        <v>4</v>
      </c>
    </row>
    <row r="1073">
      <c r="C1073" t="str">
        <v>Biocide CMIF</v>
      </c>
      <c r="D1073" s="1">
        <v>0.0017</v>
      </c>
      <c r="E1073" s="2">
        <f>(E1088*D1073)</f>
        <v>1.7</v>
      </c>
      <c r="K1073" t="str">
        <v>AGITAN 80</v>
      </c>
      <c r="L1073" s="1">
        <v>0.001</v>
      </c>
      <c r="M1073" s="2">
        <f>(M1086*L1073)</f>
        <v>1</v>
      </c>
    </row>
    <row r="1074">
      <c r="C1074" t="str">
        <v>COMBIZELL</v>
      </c>
      <c r="D1074" s="1">
        <v>0.0022</v>
      </c>
      <c r="E1074" s="2">
        <f>(E1088*D1074)</f>
        <v>2.2</v>
      </c>
      <c r="K1074" t="str">
        <v>Kelzan -Adva</v>
      </c>
      <c r="L1074" s="1">
        <v>0.0014</v>
      </c>
      <c r="M1074" s="2">
        <f>(M1086*L1074)</f>
        <v>1.4</v>
      </c>
    </row>
    <row r="1075">
      <c r="C1075" t="str">
        <v>AGITAN 80</v>
      </c>
      <c r="D1075" s="1">
        <v>0.001</v>
      </c>
      <c r="E1075" s="2">
        <f>(E1088*D1075)</f>
        <v>1</v>
      </c>
      <c r="K1075" t="str">
        <v>AGITAN 80</v>
      </c>
      <c r="L1075" s="1">
        <v>0.001</v>
      </c>
      <c r="M1075" s="2">
        <f>(M1086*L1075)</f>
        <v>1</v>
      </c>
    </row>
    <row r="1076">
      <c r="A1076" t="str">
        <v>הכנס ללא גושים ובסיום דספרסיה 5 דקות  ב_______________</v>
      </c>
      <c r="C1076" t="str">
        <v>TIONA 826</v>
      </c>
      <c r="D1076" s="1">
        <v>0.119</v>
      </c>
      <c r="E1076" s="2">
        <f>(E1088*D1076)</f>
        <v>119</v>
      </c>
      <c r="I1076" t="str">
        <v>הכנס ללא גושים ובסיום דספרסיה 5 דקות  בF 13</v>
      </c>
      <c r="K1076" t="str">
        <v>TIONA 826</v>
      </c>
      <c r="L1076" s="1">
        <v>0.12</v>
      </c>
      <c r="M1076" s="2">
        <f>(M1086*L1076)</f>
        <v>120</v>
      </c>
    </row>
    <row r="1077">
      <c r="A1077" t="str">
        <v>הכנס ללא גושים ובסיום דספרסיה 5 דקות  בF_______________</v>
      </c>
      <c r="C1077" t="str">
        <v xml:space="preserve"> CHARMOR PM 40</v>
      </c>
      <c r="D1077" s="1">
        <v>0.0925</v>
      </c>
      <c r="E1077" s="2">
        <f>(E1088*D1077)</f>
        <v>92.5</v>
      </c>
      <c r="I1077" t="str">
        <v>הכנס ללא גושים ובסיום דספרסיה 5 דקות  בF 15</v>
      </c>
      <c r="K1077" t="str">
        <v xml:space="preserve"> CHARMOR PM 40</v>
      </c>
      <c r="L1077" s="1">
        <v>0.0925</v>
      </c>
      <c r="M1077" s="2">
        <f>(M1086*L1077)</f>
        <v>92.5</v>
      </c>
    </row>
    <row r="1078">
      <c r="A1078" t="str">
        <v>הכנס ללא גושים ובסיום דספרסיה 5 דקות  ב_______________</v>
      </c>
      <c r="C1078" t="str">
        <v>MELAFINE</v>
      </c>
      <c r="D1078" s="1">
        <v>0.0945</v>
      </c>
      <c r="E1078" s="2">
        <f>(E1088*D1078)</f>
        <v>94.5</v>
      </c>
      <c r="I1078" t="str">
        <v>הכנס ללא גושים ובסיום דספרסיה 5 דקות  בF 18</v>
      </c>
      <c r="K1078" t="str">
        <v>MELAFINE</v>
      </c>
      <c r="L1078" s="1">
        <v>0.0925</v>
      </c>
      <c r="M1078" s="2">
        <f>(M1086*L1078)</f>
        <v>92.5</v>
      </c>
    </row>
    <row r="1079">
      <c r="A1079" t="str">
        <v>הכנס בזרם דק עד להומוגניות  ב____</v>
      </c>
      <c r="C1079" s="3" t="str">
        <v>Texanol</v>
      </c>
      <c r="D1079" s="1">
        <v>0.005</v>
      </c>
      <c r="E1079" s="2">
        <f>(E1088*D1079)</f>
        <v>5</v>
      </c>
      <c r="I1079" t="str">
        <v>הכנס בזרם דק עד להומוגניות  בF 15</v>
      </c>
      <c r="K1079" s="3" t="str">
        <v>Texanol</v>
      </c>
      <c r="L1079" s="1">
        <v>0.013</v>
      </c>
      <c r="M1079" s="2">
        <f>(M1086*L1079)</f>
        <v>13</v>
      </c>
    </row>
    <row r="1080">
      <c r="A1080" t="str">
        <v>הכנס ללא גושים  ב _______  . שים לב שלא יתחמם מידי</v>
      </c>
      <c r="C1080" s="3" t="str">
        <v>FR CROS 487</v>
      </c>
      <c r="D1080" s="1">
        <v>0.162</v>
      </c>
      <c r="E1080" s="2">
        <f>(E1088*D1080)</f>
        <v>162</v>
      </c>
      <c r="I1080" t="str">
        <v>הכנס ללא גושים  ב F18 . שים לב שלא יתחמם מידי</v>
      </c>
      <c r="K1080" s="3" t="str">
        <v>FR CROS 487</v>
      </c>
      <c r="L1080" s="1">
        <v>0.15</v>
      </c>
      <c r="M1080" s="2">
        <f>(M1086*L1080)</f>
        <v>150</v>
      </c>
    </row>
    <row r="1081">
      <c r="I1081" t="str">
        <v>להכניס בזרם דק</v>
      </c>
      <c r="K1081" s="3" t="str">
        <v>ENCOR 2394</v>
      </c>
      <c r="L1081" s="1">
        <v>0.1</v>
      </c>
      <c r="M1081" s="2">
        <f>(M1086*L1081)</f>
        <v>100</v>
      </c>
    </row>
    <row r="1082" ht="27.600000000000005" customHeight="1">
      <c r="I1082" t="str">
        <v>הכנס ללא גושים  ב F18 . שים לב שלא יתחמם מידי  בסיום 5 דקות דספרסיה</v>
      </c>
      <c r="K1082" s="3" t="str">
        <v>FR CROS 487</v>
      </c>
      <c r="L1082" s="1">
        <v>0.1</v>
      </c>
      <c r="M1082" s="2">
        <f>(M1086*L1082)</f>
        <v>100</v>
      </c>
    </row>
    <row r="1083">
      <c r="A1083" t="str">
        <v xml:space="preserve">להכניס לפוזור מלא </v>
      </c>
      <c r="C1083" s="3" t="str">
        <v>VINNAPAS EZ 3019</v>
      </c>
      <c r="D1083" s="1">
        <v>0.12</v>
      </c>
      <c r="E1083" s="2">
        <f>(E1088*D1083)</f>
        <v>120</v>
      </c>
      <c r="I1083" t="str">
        <v>להכניס לאט ובהדרגה  לפוזור מלא ב12 F</v>
      </c>
      <c r="K1083" s="3" t="str">
        <v>Lapinus CF 10</v>
      </c>
      <c r="L1083" s="1">
        <v>0.03</v>
      </c>
      <c r="M1083" s="2">
        <f>(M1086*L1083)</f>
        <v>30</v>
      </c>
    </row>
    <row r="1084" ht="27.600000000000005" customHeight="1">
      <c r="A1084" t="str">
        <v>הכנס ללא גושים  ב _______ ובסיום דספרסיה במשך 5 דקות . שים לב שלא יתחמם מידי</v>
      </c>
      <c r="C1084" s="3" t="str">
        <v>FR CROS 487</v>
      </c>
      <c r="D1084" s="1">
        <v>0.082</v>
      </c>
      <c r="E1084" s="2">
        <f>(E1088*D1084)</f>
        <v>82</v>
      </c>
      <c r="I1084" t="str">
        <v>הכנס בזרם דק עד להומוגניות  בF 12  לאחר מכן הכנס אגיטן ובסיום המשך 7 דקות ערבול</v>
      </c>
      <c r="K1084" s="3" t="str">
        <v>ENCOR 2394</v>
      </c>
      <c r="L1084" s="1">
        <v>0.13</v>
      </c>
      <c r="M1084" s="2">
        <f>(M1086*L1084)</f>
        <v>130</v>
      </c>
    </row>
    <row r="1085" ht="27.600000000000005" customHeight="1">
      <c r="A1085" t="str">
        <v>להכניס לאט ובהדרגה במהירות נמוכה  לפוזור מלא ב______________</v>
      </c>
      <c r="C1085" s="3" t="str">
        <v>Lapinus CF 10</v>
      </c>
      <c r="D1085" s="1">
        <v>0.03</v>
      </c>
      <c r="E1085" s="2">
        <f>(E1088*D1085)</f>
        <v>30</v>
      </c>
      <c r="K1085" s="3" t="str">
        <v>AGITAN 80</v>
      </c>
      <c r="L1085" s="1">
        <v>0.001</v>
      </c>
      <c r="M1085" s="2">
        <f>(M1086*L1085)</f>
        <v>1</v>
      </c>
    </row>
    <row r="1086">
      <c r="A1086" t="str">
        <v>הכנס בזרם דק עד להומוגניות  ב____  לאחר מכן  אגיטן ובסיום המשך 5 דקות ערבול</v>
      </c>
      <c r="C1086" s="3" t="str">
        <v>VINNAPAS EZ 3019</v>
      </c>
      <c r="D1086" s="1">
        <v>0.12</v>
      </c>
      <c r="E1086" s="2">
        <f>(E1088*D1086)</f>
        <v>120</v>
      </c>
      <c r="L1086" s="4">
        <f>SUM(L1069:L1085)</f>
        <v>1</v>
      </c>
      <c r="M1086" s="2">
        <v>1000</v>
      </c>
    </row>
    <row r="1087" ht="15" customHeight="1">
      <c r="C1087" s="3" t="str">
        <v>AGITAN 80</v>
      </c>
      <c r="D1087" s="1">
        <v>0.001</v>
      </c>
      <c r="E1087" s="2">
        <f>(E1088*D1087)</f>
        <v>1</v>
      </c>
      <c r="M1087" s="2">
        <f>SUM(M1069:M1085)</f>
        <v>1000</v>
      </c>
    </row>
    <row r="1088">
      <c r="D1088" s="4">
        <f>SUM(D1069:D1087)</f>
        <v>1</v>
      </c>
      <c r="E1088" s="2">
        <v>1000</v>
      </c>
    </row>
    <row r="1089">
      <c r="E1089" s="2">
        <f>SUM(E1069:E1087)</f>
        <v>1000</v>
      </c>
    </row>
    <row r="1090"/>
    <row r="1093">
      <c r="A1093" t="str">
        <v xml:space="preserve">          18.03.2024-077     Fresco INTUMESCENT</v>
      </c>
      <c r="I1093" t="str">
        <v xml:space="preserve">          19.03.2024-078   Fresco INTUMESCENT</v>
      </c>
    </row>
    <row r="1094">
      <c r="A1094" t="str">
        <v xml:space="preserve">   על בסיס 065  063 הגדלה: איגיטן 80 -  ל 23% של  Levasil CC401 1%   ENCOR 2394   עם FR CROS 487 הגדלת אורוטן  CMIF</v>
      </c>
      <c r="I1094" t="str">
        <v xml:space="preserve">   על בסיס   057     Levasil CC401 1.%      24.4 %VINNAPAS EZ 3019 עם טקסנול, TROYKYD  D704 והקטנת מוצקים ל 70.5% למינעת סדיקה</v>
      </c>
    </row>
    <row r="1095">
      <c r="A1095" t="str">
        <v>הוראות יצור</v>
      </c>
      <c r="B1095" t="str">
        <v>שעה - הערות</v>
      </c>
      <c r="D1095" t="str">
        <v>חומר</v>
      </c>
      <c r="E1095" t="str">
        <v>כמות ק''ג</v>
      </c>
      <c r="I1095" t="str">
        <v>הוראות יצור</v>
      </c>
      <c r="J1095" t="str">
        <v>שעה - הערות</v>
      </c>
      <c r="L1095" t="str">
        <v>חומר</v>
      </c>
      <c r="M1095" t="str">
        <v>כמות ק''ג</v>
      </c>
    </row>
    <row r="1096">
      <c r="A1096" t="str">
        <v>הכנס חומרים לאט ופזר היטב. הפעל 5 דקות דספרסיה בין הכנסת כל חומר. וודא שאין קצף לפני המעבר לשלב הבא. עבוד במהירות בF10</v>
      </c>
      <c r="C1096" t="str">
        <v>water</v>
      </c>
      <c r="D1096" s="1">
        <v>0.1491</v>
      </c>
      <c r="E1096" s="2">
        <f>(E1111*D1096)</f>
        <v>149.10000000000002</v>
      </c>
      <c r="I1096" t="str">
        <v>הכנס חומרים לאט ופזר היטב. הפעל 5 דקות דספרסיה בין הכנסת כל חומר. וודא שאין קצף לפני המעבר לשלב הבא. עבוד במהירות בF10</v>
      </c>
      <c r="K1096" t="str">
        <v>water</v>
      </c>
      <c r="L1096" s="1">
        <v>0.1302</v>
      </c>
      <c r="M1096" s="2">
        <f>(M1111*L1096)</f>
        <v>130.20000000000002</v>
      </c>
    </row>
    <row r="1097">
      <c r="C1097" t="str">
        <v>Vinkocide CMIF</v>
      </c>
      <c r="D1097" s="1">
        <v>0.004</v>
      </c>
      <c r="E1097" s="2">
        <f>(E1111*D1097)</f>
        <v>4</v>
      </c>
      <c r="K1097" t="str">
        <v>Vinkocide CMIF</v>
      </c>
      <c r="L1097" s="1">
        <v>0.002</v>
      </c>
      <c r="M1097" s="2">
        <f>(M1111*L1097)</f>
        <v>2</v>
      </c>
    </row>
    <row r="1098">
      <c r="C1098" t="str">
        <v>Levasil CC401</v>
      </c>
      <c r="D1098" s="1">
        <v>0.01</v>
      </c>
      <c r="E1098" s="2">
        <f>(E1111*D1098)</f>
        <v>10</v>
      </c>
      <c r="K1098" t="str">
        <v>Levasil CC401</v>
      </c>
      <c r="L1098" s="1">
        <v>0.03</v>
      </c>
      <c r="M1098" s="2">
        <f>(M1111*L1098)</f>
        <v>30</v>
      </c>
    </row>
    <row r="1099">
      <c r="C1099" t="str">
        <v>OROTAN 731</v>
      </c>
      <c r="D1099" s="1">
        <v>0.004</v>
      </c>
      <c r="E1099" s="2">
        <f>(E1111*D1099)</f>
        <v>4</v>
      </c>
      <c r="K1099" t="str">
        <v>OROTAN 731</v>
      </c>
      <c r="L1099" s="1">
        <v>0.0016</v>
      </c>
      <c r="M1099" s="2">
        <f>(M1111*L1099)</f>
        <v>1.6</v>
      </c>
    </row>
    <row r="1100">
      <c r="C1100" t="str">
        <v>AGITAN 80</v>
      </c>
      <c r="D1100" s="1">
        <v>0.001</v>
      </c>
      <c r="E1100" s="2">
        <f>(E1111*D1100)</f>
        <v>1</v>
      </c>
      <c r="K1100" t="str">
        <v>TROYKYD  D704</v>
      </c>
      <c r="L1100" s="1">
        <v>0.001</v>
      </c>
      <c r="M1100" s="2">
        <f>(M1111*L1100)</f>
        <v>1</v>
      </c>
    </row>
    <row r="1101">
      <c r="C1101" t="str">
        <v>COMBIZELL</v>
      </c>
      <c r="D1101" s="1">
        <v>0.0016</v>
      </c>
      <c r="E1101" s="2">
        <f>(E1111*D1101)</f>
        <v>1.6</v>
      </c>
      <c r="K1101" t="str">
        <v>COMBIZELL</v>
      </c>
      <c r="L1101" s="1">
        <v>0.0022</v>
      </c>
      <c r="M1101" s="2">
        <f>(M1111*L1101)</f>
        <v>2.2</v>
      </c>
    </row>
    <row r="1102">
      <c r="C1102" t="str">
        <v>AGITAN 80</v>
      </c>
      <c r="D1102" s="1">
        <v>0.0012</v>
      </c>
      <c r="E1102" s="2">
        <f>(E1111*D1102)</f>
        <v>1.2</v>
      </c>
      <c r="K1102" t="str">
        <v>TROYKYD  D704</v>
      </c>
      <c r="L1102" s="1">
        <v>0.0012</v>
      </c>
      <c r="M1102" s="2">
        <f>(M1111*L1102)</f>
        <v>1.2</v>
      </c>
    </row>
    <row r="1103">
      <c r="A1103" t="str">
        <v>הכנס ללא גושים ובסיום דספרסיה 5 דקות  בF 13</v>
      </c>
      <c r="C1103" t="str">
        <v>TIONA 826</v>
      </c>
      <c r="D1103" s="1">
        <v>0.12</v>
      </c>
      <c r="E1103" s="2">
        <f>(E1111*D1103)</f>
        <v>120</v>
      </c>
      <c r="I1103" t="str">
        <v>הכנס ללא גושים ובסיום דספרסיה 5 דקות  בF 13</v>
      </c>
      <c r="K1103" t="str">
        <v>TIONA 826</v>
      </c>
      <c r="L1103" s="1">
        <v>0.117</v>
      </c>
      <c r="M1103" s="2">
        <f>(M1111*L1103)</f>
        <v>117</v>
      </c>
    </row>
    <row r="1104">
      <c r="A1104" t="str">
        <v>הכנס ללא גושים ובסיום דספרסיה 5 דקות  בF 15</v>
      </c>
      <c r="C1104" t="str">
        <v xml:space="preserve"> CHARMOR PM 40</v>
      </c>
      <c r="D1104" s="1">
        <v>0.0925</v>
      </c>
      <c r="E1104" s="2">
        <f>(E1111*D1104)</f>
        <v>92.5</v>
      </c>
      <c r="I1104" t="str">
        <v>הכנס ללא גושים ובסיום דספרסיה 5 דקות  בF 15</v>
      </c>
      <c r="K1104" t="str">
        <v xml:space="preserve"> CHARMOR PM 40</v>
      </c>
      <c r="L1104" s="1">
        <v>0.0973</v>
      </c>
      <c r="M1104" s="2">
        <f>(M1111*L1104)</f>
        <v>97.3</v>
      </c>
    </row>
    <row r="1105">
      <c r="A1105" t="str">
        <v>הכנס ללא גושים ובסיום דספרסיה 5 דקות  בF 18 מנה  PP-1624</v>
      </c>
      <c r="C1105" t="str">
        <v>MELAFINE</v>
      </c>
      <c r="D1105" s="1">
        <v>0.0925</v>
      </c>
      <c r="E1105" s="2">
        <f>(E1111*D1105)</f>
        <v>92.5</v>
      </c>
      <c r="I1105" t="str">
        <v>הכנס ללא גושים ובסיום דספרסיה 5 דקות  בF 18</v>
      </c>
      <c r="K1105" t="str">
        <v>MELAFINE</v>
      </c>
      <c r="L1105" s="1">
        <v>0.0973</v>
      </c>
      <c r="M1105" s="2">
        <f>(M1111*L1105)</f>
        <v>97.3</v>
      </c>
    </row>
    <row r="1106">
      <c r="A1106" t="str">
        <v>הכנס בזרם דק עד להומוגניות  בF 15</v>
      </c>
      <c r="C1106" s="3" t="str">
        <v>Texanol</v>
      </c>
      <c r="D1106" s="1">
        <v>0.013</v>
      </c>
      <c r="E1106" s="2">
        <f>(E1111*D1106)</f>
        <v>13</v>
      </c>
      <c r="I1106" t="str">
        <v>הכנס בזרם דק עד להומוגניות  בF 15</v>
      </c>
      <c r="K1106" s="3" t="str">
        <v>Texanol</v>
      </c>
      <c r="L1106" s="1">
        <v>0.005</v>
      </c>
      <c r="M1106" s="2">
        <f>(M1111*L1106)</f>
        <v>5</v>
      </c>
    </row>
    <row r="1107" ht="27.600000000000005" customHeight="1">
      <c r="A1107" t="str">
        <v>הכנס ללא גושים  ב F18 עליה ל F21 ובסיום דספרסיה במשך 5 דקות . שים לב שלא יתחמם מידי</v>
      </c>
      <c r="C1107" s="3" t="str">
        <v>FR CROS 487</v>
      </c>
      <c r="D1107" s="1">
        <v>0.25</v>
      </c>
      <c r="E1107" s="2">
        <f>(E1111*D1107)</f>
        <v>250</v>
      </c>
      <c r="I1107" t="str">
        <v>הכנס ללא גושים  ב F18 עליה ל F21 ובסיום דספרסיה במשך 5 דקות . שים לב שלא יתחמם מידי</v>
      </c>
      <c r="K1107" s="3" t="str">
        <v>FR CROS 487</v>
      </c>
      <c r="L1107" s="1">
        <v>0.244</v>
      </c>
      <c r="M1107" s="2">
        <f>(M1111*L1107)</f>
        <v>244</v>
      </c>
    </row>
    <row r="1108">
      <c r="A1108" t="str">
        <v>להכניס לאט ובהדרגה  לפוזור מלא ב12 F</v>
      </c>
      <c r="C1108" s="3" t="str">
        <v>Lapinus CF 10</v>
      </c>
      <c r="D1108" s="1">
        <v>0.03</v>
      </c>
      <c r="E1108" s="2">
        <f>(E1111*D1108)</f>
        <v>30</v>
      </c>
      <c r="I1108" t="str">
        <v>להכניס לאט ובהדרגה  לפוזור מלא ב12 F</v>
      </c>
      <c r="K1108" s="3" t="str">
        <v>Lapinus CF 10</v>
      </c>
      <c r="L1108" s="1">
        <v>0.03</v>
      </c>
      <c r="M1108" s="2">
        <f>(M1111*L1108)</f>
        <v>30</v>
      </c>
    </row>
    <row r="1109">
      <c r="A1109" t="str">
        <v>הכנס בזרם דק עד להומוגניות  בF 12  לאחר מכן הכנס אגיטן ובסיום המשך 7 דקות ערבול</v>
      </c>
      <c r="C1109" s="3" t="str">
        <v>ENCOR 2394</v>
      </c>
      <c r="D1109" s="1">
        <v>0.23</v>
      </c>
      <c r="E1109" s="2">
        <f>(E1111*D1109)</f>
        <v>230</v>
      </c>
      <c r="I1109" t="str">
        <v>הכנס בזרם דק עד להומוגניות  בF 12  לאחר מכן הכנס אגיטן ובסיום המשך 7 דקות ערבול</v>
      </c>
      <c r="K1109" s="3" t="str">
        <v>VINNAPAS EZ 3019</v>
      </c>
      <c r="L1109" s="1">
        <v>0.24</v>
      </c>
      <c r="M1109" s="2">
        <f>(M1111*L1109)</f>
        <v>240</v>
      </c>
    </row>
    <row r="1110">
      <c r="C1110" s="3" t="str">
        <v>AGITAN 80</v>
      </c>
      <c r="D1110" s="1">
        <v>0.0011</v>
      </c>
      <c r="E1110" s="2">
        <f>(E1111*D1110)</f>
        <v>1.1</v>
      </c>
      <c r="K1110" s="3" t="str">
        <v>TROYKYD  D704</v>
      </c>
      <c r="L1110" s="1">
        <v>0.0012</v>
      </c>
      <c r="M1110" s="2">
        <f>(M1111*L1110)</f>
        <v>1.2</v>
      </c>
    </row>
    <row r="1111">
      <c r="D1111" s="4">
        <f>SUM(D1096:D1110)</f>
        <v>1.0000000000000002</v>
      </c>
      <c r="E1111" s="2">
        <v>1000</v>
      </c>
      <c r="L1111" s="4">
        <f>SUM(L1096:L1110)</f>
        <v>1</v>
      </c>
      <c r="M1111" s="2">
        <v>1000</v>
      </c>
    </row>
    <row r="1112">
      <c r="E1112" s="2">
        <f>SUM(E1096:E1110)</f>
        <v>1000</v>
      </c>
      <c r="M1112" s="2">
        <f>SUM(M1096:M1110)</f>
        <v>1000</v>
      </c>
    </row>
    <row r="1117">
      <c r="A1117" t="str">
        <v xml:space="preserve">          20.03.2024-079   Fresco INTUMESCENT</v>
      </c>
      <c r="I1117" t="str">
        <v xml:space="preserve">          19.03.2024-080   Fresco INTUMESCENT</v>
      </c>
    </row>
    <row r="1118">
      <c r="A1118" t="str">
        <v xml:space="preserve">   על בסיס   057     Levasil CC401 1.%      24.4 %VINNAPAS EZ 3019 עם טקסנול, TROYKYD  D704 והקטנת מוצקים ל 70.5% למינעת סדיקה</v>
      </c>
      <c r="I1118" t="str">
        <v xml:space="preserve">   על בסיס   057     Levasil CC401 1.%      24.4 %VINNAPAS EZ 3019 עם טקסנול, TROYKYD  D704 והקטנת מוצקים ל 70.5% למינעת סדיקה</v>
      </c>
    </row>
    <row r="1119">
      <c r="A1119" t="str">
        <v>הוראות יצור</v>
      </c>
      <c r="B1119" t="str">
        <v>שעה - הערות</v>
      </c>
      <c r="D1119" t="str">
        <v>חומר</v>
      </c>
      <c r="E1119" t="str">
        <v>כמות ק''ג</v>
      </c>
      <c r="I1119" t="str">
        <v>הוראות יצור</v>
      </c>
      <c r="J1119" t="str">
        <v>שעה - הערות</v>
      </c>
      <c r="L1119" t="str">
        <v>חומר</v>
      </c>
      <c r="M1119" t="str">
        <v>כמות ק''ג</v>
      </c>
    </row>
    <row r="1120">
      <c r="A1120" t="str">
        <v>הכנס חומרים לאט ופזר היטב. הפעל 5 דקות דספרסיה בין הכנסת כל חומר. וודא שאין קצף לפני המעבר לשלב הבא. עבוד במהירות בF10</v>
      </c>
      <c r="C1120" t="str">
        <v>water</v>
      </c>
      <c r="D1120" s="1">
        <v>0.1275</v>
      </c>
      <c r="E1120" s="2">
        <f>(E1136*D1120)</f>
        <v>127.5</v>
      </c>
      <c r="I1120" t="str">
        <v>הכנס חומרים לאט ופזר היטב. הפעל 5 דקות דספרסיה בין הכנסת כל חומר. וודא שאין קצף לפני המעבר לשלב הבא. עבוד במהירות בF10</v>
      </c>
      <c r="K1120" t="str">
        <v>water</v>
      </c>
      <c r="L1120" s="1">
        <v>0.1275</v>
      </c>
      <c r="M1120" s="2">
        <f>(M1136*L1120)</f>
        <v>127.5</v>
      </c>
    </row>
    <row r="1121">
      <c r="C1121" t="str">
        <v>Vinkocide CMIF</v>
      </c>
      <c r="D1121" s="1">
        <v>0.002</v>
      </c>
      <c r="E1121" s="2">
        <f>(E1136*D1121)</f>
        <v>2</v>
      </c>
      <c r="K1121" t="str">
        <v>Vinkocide CMIF</v>
      </c>
      <c r="L1121" s="1">
        <v>0.002</v>
      </c>
      <c r="M1121" s="2">
        <f>(M1136*L1121)</f>
        <v>2</v>
      </c>
    </row>
    <row r="1122">
      <c r="C1122" t="str">
        <v>Levasil CC401</v>
      </c>
      <c r="D1122" s="1">
        <v>0.03</v>
      </c>
      <c r="E1122" s="2">
        <f>(E1136*D1122)</f>
        <v>30</v>
      </c>
      <c r="K1122" t="str">
        <v>Levasil CC401</v>
      </c>
      <c r="L1122" s="1">
        <v>0.03</v>
      </c>
      <c r="M1122" s="2">
        <f>(M1136*L1122)</f>
        <v>30</v>
      </c>
    </row>
    <row r="1123">
      <c r="C1123" t="str">
        <v>OROTAN 731</v>
      </c>
      <c r="D1123" s="1">
        <v>0.004</v>
      </c>
      <c r="E1123" s="2">
        <f>(E1136*D1123)</f>
        <v>4</v>
      </c>
      <c r="K1123" t="str">
        <v>OROTAN 731</v>
      </c>
      <c r="L1123" s="1">
        <v>0.004</v>
      </c>
      <c r="M1123" s="2">
        <f>(M1136*L1123)</f>
        <v>4</v>
      </c>
    </row>
    <row r="1124">
      <c r="C1124" t="str">
        <v>TROYKYD  D704</v>
      </c>
      <c r="D1124" s="1">
        <v>0.001</v>
      </c>
      <c r="E1124" s="2">
        <f>(E1136*D1124)</f>
        <v>1</v>
      </c>
      <c r="K1124" t="str">
        <v>TROYKYD  D704</v>
      </c>
      <c r="L1124" s="1">
        <v>0.001</v>
      </c>
      <c r="M1124" s="2">
        <f>(M1136*L1124)</f>
        <v>1</v>
      </c>
    </row>
    <row r="1125">
      <c r="C1125" t="str">
        <v>COMBIZELL</v>
      </c>
      <c r="D1125" s="1">
        <v>0.0025</v>
      </c>
      <c r="E1125" s="2">
        <f>(E1136*D1125)</f>
        <v>2.5</v>
      </c>
      <c r="K1125" t="str">
        <v>COMBIZELL</v>
      </c>
      <c r="L1125" s="1">
        <v>0.0025</v>
      </c>
      <c r="M1125" s="2">
        <f>(M1136*L1125)</f>
        <v>2.5</v>
      </c>
    </row>
    <row r="1126">
      <c r="C1126" t="str">
        <v>TROYKYD  D704</v>
      </c>
      <c r="D1126" s="1">
        <v>0.0012</v>
      </c>
      <c r="E1126" s="2">
        <f>(E1136*D1126)</f>
        <v>1.2</v>
      </c>
      <c r="K1126" t="str">
        <v>TROYKYD  D704</v>
      </c>
      <c r="L1126" s="1">
        <v>0.0012</v>
      </c>
      <c r="M1126" s="2">
        <f>(M1136*L1126)</f>
        <v>1.2</v>
      </c>
    </row>
    <row r="1127">
      <c r="A1127" t="str">
        <v>הכנס ללא גושים ובסיום דספרסיה 5 דקות  בF 13</v>
      </c>
      <c r="C1127" t="str">
        <v>TIONA 826</v>
      </c>
      <c r="D1127" s="1">
        <v>0.117</v>
      </c>
      <c r="E1127" s="2">
        <f>(E1136*D1127)</f>
        <v>117</v>
      </c>
      <c r="I1127" t="str">
        <v>הכנס ללא גושים ובסיום דספרסיה 5 דקות  בF 13</v>
      </c>
      <c r="K1127" t="str">
        <v>TIONA 826</v>
      </c>
      <c r="L1127" s="1">
        <v>0.117</v>
      </c>
      <c r="M1127" s="2">
        <f>(M1136*L1127)</f>
        <v>117</v>
      </c>
    </row>
    <row r="1128">
      <c r="A1128" t="str">
        <v>הכנס ללא גושים ובסיום דספרסיה 5 דקות  בF 15</v>
      </c>
      <c r="C1128" t="str">
        <v xml:space="preserve"> CHARMOR PM 40</v>
      </c>
      <c r="D1128" s="1">
        <v>0.0973</v>
      </c>
      <c r="E1128" s="2">
        <f>(E1136*D1128)</f>
        <v>97.3</v>
      </c>
      <c r="I1128" t="str">
        <v>הכנס ללא גושים ובסיום דספרסיה 5 דקות  בF 15</v>
      </c>
      <c r="K1128" t="str">
        <v xml:space="preserve"> CHARMOR PM 40</v>
      </c>
      <c r="L1128" s="1">
        <v>0.0973</v>
      </c>
      <c r="M1128" s="2">
        <f>(M1136*L1128)</f>
        <v>97.3</v>
      </c>
    </row>
    <row r="1129">
      <c r="A1129" t="str">
        <v>הכנס ללא גושים ובסיום דספרסיה 5 דקות  בF 18 מנה  PP-1624</v>
      </c>
      <c r="C1129" t="str">
        <v>MELAFINE</v>
      </c>
      <c r="D1129" s="1">
        <v>0.0973</v>
      </c>
      <c r="E1129" s="2">
        <f>(E1136*D1129)</f>
        <v>97.3</v>
      </c>
      <c r="I1129" t="str">
        <v>הכנס ללא גושים ובסיום דספרסיה 5 דקות  בF 1 מנה ישנה</v>
      </c>
      <c r="K1129" t="str">
        <v>MELAFINE</v>
      </c>
      <c r="L1129" s="1">
        <v>0.0973</v>
      </c>
      <c r="M1129" s="2">
        <f>(M1136*L1129)</f>
        <v>97.3</v>
      </c>
    </row>
    <row r="1130">
      <c r="A1130" t="str">
        <v>הכנס בזרם דק עד להומוגניות  בF 15</v>
      </c>
      <c r="C1130" s="3" t="str">
        <v>Texanol</v>
      </c>
      <c r="D1130" s="1">
        <v>0.005</v>
      </c>
      <c r="E1130" s="2">
        <f>(E1136*D1130)</f>
        <v>5</v>
      </c>
      <c r="I1130" t="str">
        <v xml:space="preserve">הכנס בזרם דק עד להומוגניות  בF 15 </v>
      </c>
      <c r="K1130" s="3" t="str">
        <v>Texanol</v>
      </c>
      <c r="L1130" s="1">
        <v>0.005</v>
      </c>
      <c r="M1130" s="2">
        <f>(M1136*L1130)</f>
        <v>5</v>
      </c>
    </row>
    <row r="1131" ht="27.600000000000005" customHeight="1">
      <c r="A1131" t="str">
        <v>הכנס ללא גושים  ב F18 עליה ל F21 ובסיום דספרסיה במשך 5 דקות . שים לב שלא יתחמם מידי</v>
      </c>
      <c r="C1131" s="3" t="str">
        <v>FR CROS 487</v>
      </c>
      <c r="D1131" s="1">
        <v>0.244</v>
      </c>
      <c r="E1131" s="2">
        <f>(E1136*D1131)</f>
        <v>244</v>
      </c>
      <c r="I1131" t="str">
        <v>הכנס ללא גושים  ב F18 עליה ל F21 ובסיום דספרסיה במשך 5 דקות . שים לב שלא יתחמם מידי</v>
      </c>
      <c r="K1131" s="3" t="str">
        <v>FR CROS 487</v>
      </c>
      <c r="L1131" s="1">
        <v>0.244</v>
      </c>
      <c r="M1131" s="2">
        <f>(M1136*L1131)</f>
        <v>244</v>
      </c>
    </row>
    <row r="1132">
      <c r="I1132" t="str">
        <v xml:space="preserve">הכנס בזרם דק עד להומוגניות </v>
      </c>
      <c r="K1132" s="3" t="str">
        <v>VINNAPAS EZ 3019</v>
      </c>
      <c r="L1132" s="6">
        <v>0.085</v>
      </c>
      <c r="M1132" s="2">
        <f>(M1136*L1132)</f>
        <v>85</v>
      </c>
    </row>
    <row r="1133">
      <c r="A1133" t="str">
        <v>להכניס לאט ובהדרגה  לפוזור מלא ב12 F</v>
      </c>
      <c r="C1133" s="3" t="str">
        <v>Lapinus CF 10</v>
      </c>
      <c r="D1133" s="1">
        <v>0.03</v>
      </c>
      <c r="E1133" s="2">
        <f>(E1136*D1133)</f>
        <v>30</v>
      </c>
      <c r="I1133" t="str">
        <v>להכניס לאט ובהדרגה  לפוזור מלא ב12 F</v>
      </c>
      <c r="K1133" s="3" t="str">
        <v>Lapinus CF 10</v>
      </c>
      <c r="L1133" s="1">
        <v>0.03</v>
      </c>
      <c r="M1133" s="2">
        <f>(M1136*L1133)</f>
        <v>30</v>
      </c>
    </row>
    <row r="1134">
      <c r="A1134" t="str">
        <v>הכנס בזרם דק עד להומוגניות  בF 12  לאחר מכן הכנס אגיטן ובסיום המשך 7 דקות ערבול</v>
      </c>
      <c r="C1134" s="3" t="str">
        <v>VINNAPAS EZ 3019</v>
      </c>
      <c r="D1134" s="1">
        <v>0.24</v>
      </c>
      <c r="E1134" s="2">
        <f>(E1136*D1134)</f>
        <v>240</v>
      </c>
      <c r="I1134" t="str">
        <v>הכנס בזרם דק עד להומוגניות  בF 12  לאחר מכן הכנס אגיטן ובסיום המשך 7 דקות ערבול</v>
      </c>
      <c r="K1134" s="3" t="str">
        <v>VINNAPAS EZ 3019</v>
      </c>
      <c r="L1134" s="1">
        <v>0.155</v>
      </c>
      <c r="M1134" s="2">
        <f>(M1136*L1134)</f>
        <v>155</v>
      </c>
    </row>
    <row r="1135">
      <c r="C1135" s="3" t="str">
        <v>TROYKYD  D704</v>
      </c>
      <c r="D1135" s="1">
        <v>0.0012</v>
      </c>
      <c r="E1135" s="2">
        <f>(E1136*D1135)</f>
        <v>1.2</v>
      </c>
      <c r="K1135" s="3" t="str">
        <v>TROYKYD  D704</v>
      </c>
      <c r="L1135" s="1">
        <v>0.0012</v>
      </c>
      <c r="M1135" s="2">
        <f>(M1136*L1135)</f>
        <v>1.2</v>
      </c>
    </row>
    <row r="1136">
      <c r="D1136" s="4">
        <f>SUM(D1120:D1135)</f>
        <v>1</v>
      </c>
      <c r="E1136" s="2">
        <v>1000</v>
      </c>
      <c r="L1136" s="4">
        <f>SUM(L1120:L1135)</f>
        <v>1</v>
      </c>
      <c r="M1136" s="2">
        <v>1000</v>
      </c>
    </row>
    <row r="1137">
      <c r="E1137" s="2">
        <f>SUM(E1120:E1135)</f>
        <v>1000</v>
      </c>
      <c r="M1137" s="2">
        <f>SUM(M1120:M1135)</f>
        <v>1000</v>
      </c>
    </row>
    <row r="1143">
      <c r="A1143" t="str">
        <v xml:space="preserve">          21.03.2024-081   Fresco INTUMESCENT</v>
      </c>
      <c r="I1143" t="str">
        <v xml:space="preserve">         25.03.2024-082   Fresco INTUMESCENT</v>
      </c>
    </row>
    <row r="1144">
      <c r="A1144" t="str">
        <v xml:space="preserve">   על בסיס 057  079     CC401 3.%   24. % EZ 3019 , טקסנול, TROYKYD  D704 Kelzan -Adva והקטנת מוצקים ל 70.5% למינעת סדיקה</v>
      </c>
      <c r="I1144" t="str">
        <v xml:space="preserve">   על בסיס   057     Levasil CC401 1.%      24.4 %VINNAPAS EZ 3019 עם טקסנול, TROYKYD  D704 והקטנת מוצקים ל 70.5% למינעת סדיקה</v>
      </c>
    </row>
    <row r="1145">
      <c r="A1145" t="str">
        <v>הוראות יצור</v>
      </c>
      <c r="B1145" t="str">
        <v>שעה - הערות</v>
      </c>
      <c r="D1145" t="str">
        <v>חומר</v>
      </c>
      <c r="E1145" t="str">
        <v>כמות ק''ג</v>
      </c>
      <c r="I1145" t="str">
        <v>הוראות יצור</v>
      </c>
      <c r="J1145" t="str">
        <v>שעה - הערות</v>
      </c>
      <c r="L1145" t="str">
        <v>חומר</v>
      </c>
      <c r="M1145" t="str">
        <v>כמות ק''ג</v>
      </c>
    </row>
    <row r="1146">
      <c r="A1146" t="str">
        <v>הכנס חומרים לאט ופזר היטב. הפעל 5 דקות דספרסיה בין הכנסת כל חומר. וודא שאין קצף לפני המעבר לשלב הבא. עבוד במהירות בF10</v>
      </c>
      <c r="C1146" t="str">
        <v>water</v>
      </c>
      <c r="D1146" s="1">
        <v>0.1278</v>
      </c>
      <c r="E1146" s="2">
        <f>(E1162*D1146)</f>
        <v>127.8</v>
      </c>
      <c r="I1146" t="str">
        <v>הכנס חומרים לאט ופזר היטב. הפעל 5 דקות דספרסיה בין הכנסת כל חומר. וודא שאין קצף לפני המעבר לשלב הבא. עבוד במהירות בF10</v>
      </c>
      <c r="K1146" t="str">
        <v>water</v>
      </c>
      <c r="L1146" s="1">
        <v>0.1295</v>
      </c>
      <c r="M1146" s="2">
        <f>(M1162*L1146)</f>
        <v>129.5</v>
      </c>
    </row>
    <row r="1147">
      <c r="C1147" t="str">
        <v>Vinkocide CMIF</v>
      </c>
      <c r="D1147" s="1">
        <v>0.002</v>
      </c>
      <c r="E1147" s="2">
        <f>(E1162*D1147)</f>
        <v>2</v>
      </c>
      <c r="K1147" t="str">
        <v>Vinkocide CMIF</v>
      </c>
      <c r="L1147" s="1">
        <v>0.002</v>
      </c>
      <c r="M1147" s="2">
        <f>(M1162*L1147)</f>
        <v>2</v>
      </c>
    </row>
    <row r="1148">
      <c r="C1148" t="str">
        <v>Levasil CC401</v>
      </c>
      <c r="D1148" s="1">
        <v>0.03</v>
      </c>
      <c r="E1148" s="2">
        <f>(E1162*D1148)</f>
        <v>30</v>
      </c>
      <c r="K1148" t="str">
        <v>Levasil CC401</v>
      </c>
      <c r="L1148" s="1">
        <v>0.03</v>
      </c>
      <c r="M1148" s="2">
        <f>(M1162*L1148)</f>
        <v>30</v>
      </c>
    </row>
    <row r="1149">
      <c r="C1149" t="str">
        <v>OROTAN 731</v>
      </c>
      <c r="D1149" s="1">
        <v>0.004</v>
      </c>
      <c r="E1149" s="2">
        <f>(E1162*D1149)</f>
        <v>4</v>
      </c>
      <c r="K1149" t="str">
        <v>OROTAN 731</v>
      </c>
      <c r="L1149" s="1">
        <v>0.002</v>
      </c>
      <c r="M1149" s="2">
        <f>(M1162*L1149)</f>
        <v>2</v>
      </c>
    </row>
    <row r="1150">
      <c r="C1150" t="str">
        <v>TROYKYD  D704</v>
      </c>
      <c r="D1150" s="1">
        <v>0.001</v>
      </c>
      <c r="E1150" s="2">
        <f>(E1162*D1150)</f>
        <v>1</v>
      </c>
      <c r="K1150" t="str">
        <v>TROYKYD  D704</v>
      </c>
      <c r="L1150" s="1">
        <v>0.001</v>
      </c>
      <c r="M1150" s="2">
        <f>(M1162*L1150)</f>
        <v>1</v>
      </c>
    </row>
    <row r="1151">
      <c r="C1151" t="str">
        <v>Kelzan -Adva</v>
      </c>
      <c r="D1151" s="1">
        <v>0.0022</v>
      </c>
      <c r="E1151" s="2">
        <f>(E1162*D1151)</f>
        <v>2.2</v>
      </c>
      <c r="K1151" t="str">
        <v>COMBIZELL</v>
      </c>
      <c r="L1151" s="1">
        <v>0.0025</v>
      </c>
      <c r="M1151" s="2">
        <f>(M1162*L1151)</f>
        <v>2.5</v>
      </c>
    </row>
    <row r="1152">
      <c r="C1152" t="str">
        <v>TROYKYD  D704</v>
      </c>
      <c r="D1152" s="1">
        <v>0.0012</v>
      </c>
      <c r="E1152" s="2">
        <f>(E1162*D1152)</f>
        <v>1.2</v>
      </c>
      <c r="K1152" t="str">
        <v>TROYKYD  D704</v>
      </c>
      <c r="L1152" s="1">
        <v>0.0012</v>
      </c>
      <c r="M1152" s="2">
        <f>(M1162*L1152)</f>
        <v>1.2</v>
      </c>
    </row>
    <row r="1153">
      <c r="A1153" t="str">
        <v>הכנס ללא גושים ובסיום דספרסיה 5 דקות  בF 13</v>
      </c>
      <c r="C1153" t="str">
        <v>TIONA 826</v>
      </c>
      <c r="D1153" s="1">
        <v>0.117</v>
      </c>
      <c r="E1153" s="2">
        <f>(E1162*D1153)</f>
        <v>117</v>
      </c>
      <c r="I1153" t="str">
        <v>הכנס ללא גושים ובסיום דספרסיה 5 דקות  בF 13</v>
      </c>
      <c r="K1153" t="str">
        <v>TIONA 826</v>
      </c>
      <c r="L1153" s="1">
        <v>0.117</v>
      </c>
      <c r="M1153" s="2">
        <f>(M1162*L1153)</f>
        <v>117</v>
      </c>
    </row>
    <row r="1154">
      <c r="A1154" t="str">
        <v>הכנס ללא גושים ובסיום דספרסיה 5 דקות  בF 15</v>
      </c>
      <c r="C1154" t="str">
        <v xml:space="preserve"> CHARMOR PM 40</v>
      </c>
      <c r="D1154" s="1">
        <v>0.0973</v>
      </c>
      <c r="E1154" s="2">
        <f>(E1162*D1154)</f>
        <v>97.3</v>
      </c>
      <c r="I1154" t="str">
        <v>הכנס ללא גושים ובסיום דספרסיה 5 דקות  בF 15</v>
      </c>
      <c r="K1154" t="str">
        <v xml:space="preserve"> CHARMOR PM 40</v>
      </c>
      <c r="L1154" s="1">
        <v>0.0973</v>
      </c>
      <c r="M1154" s="2">
        <f>(M1162*L1154)</f>
        <v>97.3</v>
      </c>
    </row>
    <row r="1155">
      <c r="A1155" t="str">
        <v>הכנס ללא גושים ובסיום דספרסיה 5 דקות  בF 1 מנה  PP-1624</v>
      </c>
      <c r="C1155" t="str">
        <v>MELAFINE</v>
      </c>
      <c r="D1155" s="1">
        <v>0.0973</v>
      </c>
      <c r="E1155" s="2">
        <f>(E1162*D1155)</f>
        <v>97.3</v>
      </c>
      <c r="I1155" t="str">
        <v>הכנס ללא גושים ובסיום דספרסיה 5 דקות  בF 1 מנה י PP-1624</v>
      </c>
      <c r="K1155" t="str">
        <v>MELAFINE</v>
      </c>
      <c r="L1155" s="1">
        <v>0.0973</v>
      </c>
      <c r="M1155" s="2">
        <f>(M1162*L1155)</f>
        <v>97.3</v>
      </c>
    </row>
    <row r="1156">
      <c r="A1156" t="str">
        <v xml:space="preserve">הכנס בזרם דק עד להומוגניות  בF 15 </v>
      </c>
      <c r="C1156" s="3" t="str">
        <v>Texanol</v>
      </c>
      <c r="D1156" s="1">
        <v>0.005</v>
      </c>
      <c r="E1156" s="2">
        <f>(E1162*D1156)</f>
        <v>5</v>
      </c>
      <c r="I1156" t="str">
        <v xml:space="preserve">הכנס בזרם דק עד להומוגניות  בF 15 </v>
      </c>
      <c r="K1156" s="3" t="str">
        <v>Texanol</v>
      </c>
      <c r="L1156" s="1">
        <v>0.005</v>
      </c>
      <c r="M1156" s="2">
        <f>(M1162*L1156)</f>
        <v>5</v>
      </c>
    </row>
    <row r="1157" ht="27.600000000000005" customHeight="1">
      <c r="A1157" t="str">
        <v>הכנס ללא גושים  ב F18 עליה ל F21 ובסיום דספרסיה במשך 5 דקות . שים לב שלא יתחמם מידי</v>
      </c>
      <c r="C1157" s="3" t="str">
        <v>FR CROS 487</v>
      </c>
      <c r="D1157" s="1">
        <v>0.244</v>
      </c>
      <c r="E1157" s="2">
        <f>(E1162*D1157)</f>
        <v>244</v>
      </c>
      <c r="I1157" t="str">
        <v>הכנס ללא גושים  ב F18 עליה ל F21 ובסיום דספרסיה במשך 5 דקות . שים לב שלא יתחמם מידי</v>
      </c>
      <c r="K1157" s="3" t="str">
        <v>FR CROS 487</v>
      </c>
      <c r="L1157" s="1">
        <v>0.244</v>
      </c>
      <c r="M1157" s="2">
        <f>(M1162*L1157)</f>
        <v>244</v>
      </c>
    </row>
    <row r="1158">
      <c r="A1158" t="str">
        <v xml:space="preserve">הכנס בזרם דק עד להומוגניות </v>
      </c>
      <c r="C1158" s="3" t="str">
        <v>VINNAPAS EZ 3019</v>
      </c>
      <c r="D1158" s="6">
        <v>0.085</v>
      </c>
      <c r="E1158" s="2">
        <f>(E1162*D1158)</f>
        <v>85</v>
      </c>
      <c r="I1158" t="str">
        <v xml:space="preserve">הכנס בזרם דק עד להומוגניות </v>
      </c>
      <c r="K1158" s="3" t="str">
        <v>VINNAPAS EZ 3019</v>
      </c>
      <c r="L1158" s="6">
        <v>0.085</v>
      </c>
      <c r="M1158" s="2">
        <f>(M1162*L1158)</f>
        <v>85</v>
      </c>
    </row>
    <row r="1159">
      <c r="A1159" t="str">
        <v>להכניס לאט ובהדרגה  לפוזור מלא ב12 F</v>
      </c>
      <c r="C1159" s="3" t="str">
        <v>Lapinus CF 10</v>
      </c>
      <c r="D1159" s="1">
        <v>0.03</v>
      </c>
      <c r="E1159" s="2">
        <f>(E1162*D1159)</f>
        <v>30</v>
      </c>
      <c r="I1159" t="str">
        <v>להכניס לאט ובהדרגה  לפוזור מלא ב12 F</v>
      </c>
      <c r="K1159" s="3" t="str">
        <v>Lapinus CF 10</v>
      </c>
      <c r="L1159" s="1">
        <v>0.03</v>
      </c>
      <c r="M1159" s="2">
        <f>(M1162*L1159)</f>
        <v>30</v>
      </c>
    </row>
    <row r="1160">
      <c r="A1160" t="str">
        <v>הכנס בזרם דק עד להומוגניות  בF 12  לאחר מכן הכנס אגיטן ובסיום המשך 7 דקות ערבול</v>
      </c>
      <c r="C1160" s="3" t="str">
        <v>VINNAPAS EZ 3019</v>
      </c>
      <c r="D1160" s="1">
        <v>0.155</v>
      </c>
      <c r="E1160" s="2">
        <f>(E1162*D1160)</f>
        <v>155</v>
      </c>
      <c r="I1160" t="str">
        <v>הכנס בזרם דק עד להומוגניות  בF 12  לאחר מכן הכנס אגיטן ובסיום המשך 7 דקות ערבול</v>
      </c>
      <c r="K1160" s="3" t="str">
        <v>VINNAPAS EZ 3019</v>
      </c>
      <c r="L1160" s="1">
        <v>0.155</v>
      </c>
      <c r="M1160" s="2">
        <f>(M1162*L1160)</f>
        <v>155</v>
      </c>
    </row>
    <row r="1161">
      <c r="C1161" s="3" t="str">
        <v>TROYKYD  D704</v>
      </c>
      <c r="D1161" s="1">
        <v>0.0012</v>
      </c>
      <c r="E1161" s="2">
        <f>(E1162*D1161)</f>
        <v>1.2</v>
      </c>
      <c r="K1161" s="3" t="str">
        <v>TROYKYD  D704</v>
      </c>
      <c r="L1161" s="1">
        <v>0.0012</v>
      </c>
      <c r="M1161" s="2">
        <f>(M1162*L1161)</f>
        <v>1.2</v>
      </c>
    </row>
    <row r="1162">
      <c r="D1162" s="4">
        <f>SUM(D1146:D1161)</f>
        <v>1</v>
      </c>
      <c r="E1162" s="2">
        <v>1000</v>
      </c>
      <c r="L1162" s="4">
        <f>SUM(L1146:L1161)</f>
        <v>1</v>
      </c>
      <c r="M1162" s="2">
        <v>1000</v>
      </c>
    </row>
    <row r="1163">
      <c r="E1163" s="2">
        <f>SUM(E1146:E1161)</f>
        <v>1000</v>
      </c>
      <c r="M1163" s="2">
        <f>SUM(M1146:M1161)</f>
        <v>1000</v>
      </c>
    </row>
    <row r="1169">
      <c r="A1169" t="str">
        <v xml:space="preserve">         1.04.2024-083   Fresco INTUMESCENT</v>
      </c>
      <c r="I1169" t="str">
        <v xml:space="preserve">         1.04.2024-084   Fresco INTUMESCENT</v>
      </c>
    </row>
    <row r="1170">
      <c r="A1170" t="str">
        <v xml:space="preserve">   על בסיס   057   Levasil CC401 3.% , 24.4 %VINNAPAS EZ 3019 , טקסנול,Optigel WX  מוצקים ל 70.5% למינעת סדיקה</v>
      </c>
      <c r="I1170" t="str">
        <v xml:space="preserve">   על בסיס   057   Levasil CC401 3.% , 24.4 %VINNAPAS EZ 3019 , טקסנול,Optigel WX ,Kelzan -Adva מוצקים ל 70.5% למינעת סדיקה</v>
      </c>
    </row>
    <row r="1171">
      <c r="A1171" t="str">
        <v>הוראות יצור</v>
      </c>
      <c r="B1171" t="str">
        <v>שעה - הערות</v>
      </c>
      <c r="D1171" t="str">
        <v>חומר</v>
      </c>
      <c r="E1171" t="str">
        <v>כמות ק''ג</v>
      </c>
      <c r="I1171" t="str">
        <v>הוראות יצור</v>
      </c>
      <c r="J1171" t="str">
        <v>שעה - הערות</v>
      </c>
      <c r="L1171" t="str">
        <v>חומר</v>
      </c>
      <c r="M1171" t="str">
        <v>כמות ק''ג</v>
      </c>
    </row>
    <row r="1172" ht="15" customHeight="1">
      <c r="A1172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172" t="str">
        <v>water</v>
      </c>
      <c r="D1172" s="1">
        <v>0.1289</v>
      </c>
      <c r="E1172" s="2">
        <f>(E1189*D1172)</f>
        <v>128.89999999999998</v>
      </c>
      <c r="I1172" t="str">
        <v xml:space="preserve">הכנס חומרים לאט ופזר היטב.   עבוד במהירות בF4    הכנס אגיטן מיד אחרי אורוטן והפעל 3 דקות דספרסיה.          וודא שאין קצף לפני המעבר לשלב הבא.            הכנס אגיטן מיד אחרי קומביזל והפעל 3 דקות דספרסיה.             </v>
      </c>
      <c r="K1172" t="str">
        <v>water</v>
      </c>
      <c r="L1172" s="1">
        <v>0.1289</v>
      </c>
      <c r="M1172" s="2">
        <f>(M1189*L1172)</f>
        <v>128.89999999999998</v>
      </c>
    </row>
    <row r="1173">
      <c r="C1173" t="str">
        <v>Vinkocide CMIF</v>
      </c>
      <c r="D1173" s="1">
        <v>0.002</v>
      </c>
      <c r="E1173" s="2">
        <f>(E1189*D1173)</f>
        <v>2</v>
      </c>
      <c r="K1173" t="str">
        <v>Vinkocide CMIF</v>
      </c>
      <c r="L1173" s="1">
        <v>0.002</v>
      </c>
      <c r="M1173" s="2">
        <f>(M1189*L1173)</f>
        <v>2</v>
      </c>
    </row>
    <row r="1174">
      <c r="C1174" t="str">
        <v>Levasil CC401</v>
      </c>
      <c r="D1174" s="1">
        <v>0.03</v>
      </c>
      <c r="E1174" s="2">
        <f>(E1189*D1174)</f>
        <v>30</v>
      </c>
      <c r="K1174" t="str">
        <v>Levasil CC401</v>
      </c>
      <c r="L1174" s="1">
        <v>0.03</v>
      </c>
      <c r="M1174" s="2">
        <f>(M1189*L1174)</f>
        <v>30</v>
      </c>
    </row>
    <row r="1175">
      <c r="C1175" t="str">
        <v>OROTAN 731</v>
      </c>
      <c r="D1175" s="1">
        <v>0.002</v>
      </c>
      <c r="E1175" s="2">
        <f>(E1189*D1175)</f>
        <v>2</v>
      </c>
      <c r="K1175" t="str">
        <v>OROTAN 731</v>
      </c>
      <c r="L1175" s="1">
        <v>0.002</v>
      </c>
      <c r="M1175" s="2">
        <f>(M1189*L1175)</f>
        <v>2</v>
      </c>
    </row>
    <row r="1176">
      <c r="C1176" t="str">
        <v>AGITAN 80</v>
      </c>
      <c r="D1176" s="1">
        <v>0.0005</v>
      </c>
      <c r="E1176" s="2">
        <f>(E1189*D1176)</f>
        <v>0.5</v>
      </c>
      <c r="K1176" t="str">
        <v>AGITAN 80</v>
      </c>
      <c r="L1176" s="1">
        <v>0.0005</v>
      </c>
      <c r="M1176" s="2">
        <f>(M1189*L1176)</f>
        <v>0.5</v>
      </c>
    </row>
    <row r="1177">
      <c r="C1177" t="str">
        <v>COMBIZELL</v>
      </c>
      <c r="D1177" s="1">
        <v>0.0025</v>
      </c>
      <c r="E1177" s="2">
        <f>(E1189*D1177)</f>
        <v>2.5</v>
      </c>
      <c r="K1177" t="str">
        <v>Kelzan -Adva</v>
      </c>
      <c r="L1177" s="1">
        <v>0.0025</v>
      </c>
      <c r="M1177" s="2">
        <f>(M1189*L1177)</f>
        <v>2.5</v>
      </c>
    </row>
    <row r="1178">
      <c r="C1178" t="str">
        <v>AGITAN 80</v>
      </c>
      <c r="D1178" s="1">
        <v>0.001</v>
      </c>
      <c r="E1178" s="2">
        <f>(E1189*D1178)</f>
        <v>1</v>
      </c>
      <c r="K1178" t="str">
        <v>AGITAN 80</v>
      </c>
      <c r="L1178" s="1">
        <v>0.001</v>
      </c>
      <c r="M1178" s="2">
        <f>(M1189*L1178)</f>
        <v>1</v>
      </c>
    </row>
    <row r="1179">
      <c r="A1179" t="str">
        <v>וודא שאין קצף ופזר אופטגל ללא גושים</v>
      </c>
      <c r="C1179" t="str">
        <v>Optigel WX</v>
      </c>
      <c r="D1179" s="1">
        <v>0.001</v>
      </c>
      <c r="E1179" s="2">
        <f>(E1189*D1179)</f>
        <v>1</v>
      </c>
      <c r="I1179" t="str">
        <v>וודא שאין קצף ופזר אופטגל ללא גושים</v>
      </c>
      <c r="K1179" t="str">
        <v>Optigel WX</v>
      </c>
      <c r="L1179" s="1">
        <v>0.001</v>
      </c>
      <c r="M1179" s="2">
        <f>(M1189*L1179)</f>
        <v>1</v>
      </c>
    </row>
    <row r="1180">
      <c r="A1180" t="str">
        <v>הכנס ללא גושים ובסיום דספרסיה 5 דקות  בF 13</v>
      </c>
      <c r="C1180" t="str">
        <v>TIONA 826</v>
      </c>
      <c r="D1180" s="1">
        <v>0.117</v>
      </c>
      <c r="E1180" s="2">
        <f>(E1189*D1180)</f>
        <v>117</v>
      </c>
      <c r="I1180" t="str">
        <v>הכנס ללא גושים ובסיום דספרסיה 2 דקות  בF 13</v>
      </c>
      <c r="K1180" t="str">
        <v>TIONA 826</v>
      </c>
      <c r="L1180" s="1">
        <v>0.117</v>
      </c>
      <c r="M1180" s="2">
        <f>(M1189*L1180)</f>
        <v>117</v>
      </c>
    </row>
    <row r="1181">
      <c r="A1181" t="str">
        <v>הכנס ללא גושים ובסיום דספרסיה 5 דקות  בF 15</v>
      </c>
      <c r="C1181" t="str">
        <v xml:space="preserve"> CHARMOR PM 40</v>
      </c>
      <c r="D1181" s="1">
        <v>0.0973</v>
      </c>
      <c r="E1181" s="2">
        <f>(E1189*D1181)</f>
        <v>97.3</v>
      </c>
      <c r="I1181" t="str">
        <v>הכנס ללא גושים ובסיום דספרסיה 2 דקות  בF 15</v>
      </c>
      <c r="K1181" t="str">
        <v xml:space="preserve"> CHARMOR PM 40</v>
      </c>
      <c r="L1181" s="1">
        <v>0.0973</v>
      </c>
      <c r="M1181" s="2">
        <f>(M1189*L1181)</f>
        <v>97.3</v>
      </c>
    </row>
    <row r="1182">
      <c r="A1182" t="str">
        <v>הכנס ללא גושים ובסיום דספרסיה 5 דקות  בF 1 מנה י PP-1624</v>
      </c>
      <c r="C1182" t="str">
        <v>MELAFINE</v>
      </c>
      <c r="D1182" s="1">
        <v>0.0973</v>
      </c>
      <c r="E1182" s="2">
        <f>(E1189*D1182)</f>
        <v>97.3</v>
      </c>
      <c r="I1182" t="str">
        <v>הכנס ללא גושים ובסיום דספרסיה 2 דקות  בF 16.3 מנה  PP-1624</v>
      </c>
      <c r="K1182" t="str">
        <v>MELAFINE</v>
      </c>
      <c r="L1182" s="1">
        <v>0.0973</v>
      </c>
      <c r="M1182" s="2">
        <f>(M1189*L1182)</f>
        <v>97.3</v>
      </c>
    </row>
    <row r="1183">
      <c r="A1183" t="str">
        <v xml:space="preserve">הכנס בזרם דק עד להומוגניות  בF 15 </v>
      </c>
      <c r="C1183" s="3" t="str">
        <v>Texanol</v>
      </c>
      <c r="D1183" s="1">
        <v>0.005</v>
      </c>
      <c r="E1183" s="2">
        <f>(E1189*D1183)</f>
        <v>5</v>
      </c>
      <c r="I1183" t="str">
        <v xml:space="preserve">הכנס בזרם דק עד להומוגניות  בF 10 </v>
      </c>
      <c r="K1183" s="3" t="str">
        <v>Texanol</v>
      </c>
      <c r="L1183" s="1">
        <v>0.005</v>
      </c>
      <c r="M1183" s="2">
        <f>(M1189*L1183)</f>
        <v>5</v>
      </c>
    </row>
    <row r="1184" ht="27.600000000000005" customHeight="1">
      <c r="A1184" t="str">
        <v>הכנס ללא גושים  ב F18 עליה ל F21 ובסיום דספרסיה במשך 5 דקות . שים לב שלא יתחמם מידי</v>
      </c>
      <c r="C1184" s="3" t="str">
        <v>FR CROS 487</v>
      </c>
      <c r="D1184" s="1">
        <v>0.244</v>
      </c>
      <c r="E1184" s="2">
        <f>(E1189*D1184)</f>
        <v>244</v>
      </c>
      <c r="I1184" t="str">
        <v>הכנס ללא גושים  ב F16 ובסיום דספרסיה במשך 5 דקות . שים לב שלא יתחמם מידי</v>
      </c>
      <c r="K1184" s="3" t="str">
        <v>FR CROS 487</v>
      </c>
      <c r="L1184" s="1">
        <v>0.244</v>
      </c>
      <c r="M1184" s="2">
        <f>(M1189*L1184)</f>
        <v>244</v>
      </c>
    </row>
    <row r="1185">
      <c r="A1185" t="str">
        <v xml:space="preserve">הכנס בזרם דק עד להומוגניות </v>
      </c>
      <c r="C1185" s="3" t="str">
        <v>VINNAPAS EZ 3019</v>
      </c>
      <c r="D1185" s="6">
        <v>0.085</v>
      </c>
      <c r="E1185" s="2">
        <f>(E1189*D1185)</f>
        <v>85</v>
      </c>
      <c r="I1185" t="str">
        <v>הכנס בזרם דק עד להומוגניות F14</v>
      </c>
      <c r="K1185" s="3" t="str">
        <v>VINNAPAS EZ 3019</v>
      </c>
      <c r="L1185" s="6">
        <v>0.085</v>
      </c>
      <c r="M1185" s="2">
        <f>(M1189*L1185)</f>
        <v>85</v>
      </c>
    </row>
    <row r="1186">
      <c r="A1186" t="str">
        <v>להכניס לאט ובהדרגה  לפוזור מלא ב12 F</v>
      </c>
      <c r="C1186" s="3" t="str">
        <v>Lapinus CF 10</v>
      </c>
      <c r="D1186" s="1">
        <v>0.03</v>
      </c>
      <c r="E1186" s="2">
        <f>(E1189*D1186)</f>
        <v>30</v>
      </c>
      <c r="I1186" t="str">
        <v>להכניס לאט ובהדרגה  לפוזור מלא ב10.5 F</v>
      </c>
      <c r="K1186" s="3" t="str">
        <v>Lapinus CF 10</v>
      </c>
      <c r="L1186" s="1">
        <v>0.03</v>
      </c>
      <c r="M1186" s="2">
        <f>(M1189*L1186)</f>
        <v>30</v>
      </c>
    </row>
    <row r="1187" ht="15" customHeight="1">
      <c r="A1187" t="str">
        <v>הכנס בזרם דק עד להומוגניות  בF 12  לאחר מכן הכנס אגיטן ובסיום המשך 7 דקות ערבול</v>
      </c>
      <c r="C1187" s="3" t="str">
        <v>VINNAPAS EZ 3019</v>
      </c>
      <c r="D1187" s="1">
        <v>0.155</v>
      </c>
      <c r="E1187" s="2">
        <f>(E1189*D1187)</f>
        <v>155</v>
      </c>
      <c r="I1187" t="str">
        <v>הכנס בזרם דק עד להומוגניות  בF 18  לאחר מכן הכנס אגיטן ובסיום המשך5 דקות ערבול</v>
      </c>
      <c r="K1187" s="3" t="str">
        <v>VINNAPAS EZ 3019</v>
      </c>
      <c r="L1187" s="1">
        <v>0.155</v>
      </c>
      <c r="M1187" s="2">
        <f>(M1189*L1187)</f>
        <v>155</v>
      </c>
    </row>
    <row r="1188">
      <c r="C1188" s="3" t="str">
        <v>AGITAN 80</v>
      </c>
      <c r="D1188" s="1">
        <v>0.0015</v>
      </c>
      <c r="E1188" s="2">
        <f>(E1189*D1188)</f>
        <v>1.5</v>
      </c>
      <c r="K1188" s="3" t="str">
        <v>AGITAN 80</v>
      </c>
      <c r="L1188" s="1">
        <v>0.0015</v>
      </c>
      <c r="M1188" s="2">
        <f>(M1189*L1188)</f>
        <v>1.5</v>
      </c>
    </row>
    <row r="1189">
      <c r="D1189" s="4">
        <f>SUM(D1172:D1188)</f>
        <v>0.9999999999999999</v>
      </c>
      <c r="E1189" s="2">
        <v>1000</v>
      </c>
      <c r="L1189" s="4">
        <f>SUM(L1172:L1188)</f>
        <v>0.9999999999999999</v>
      </c>
      <c r="M1189" s="2">
        <v>1000</v>
      </c>
    </row>
    <row r="1190">
      <c r="C1190" s="7">
        <f>SUM(D1177+D1179+D1180+D1181+D1182+D1184+D1185*0.5+D1186+D1187*0.5)</f>
        <v>0.7091</v>
      </c>
      <c r="E1190" s="2">
        <f>SUM(E1172:E1188)</f>
        <v>1000</v>
      </c>
      <c r="M1190" s="2">
        <f>SUM(M1172:M1188)</f>
        <v>1000</v>
      </c>
    </row>
    <row r="1193"/>
    <row r="1194"/>
    <row r="1195">
      <c r="A1195" t="str">
        <v xml:space="preserve">         2.04.2024-085   Fresco INTUMESCENT</v>
      </c>
      <c r="I1195" t="str">
        <v xml:space="preserve">        3.04.2024-086   Fresco INTUMESCENT</v>
      </c>
    </row>
    <row r="1196">
      <c r="A1196" t="str">
        <v xml:space="preserve">   על בסיס   057   Levasil CC401 3.% , 24.4 %VINNAPAS EZ 3019 , טקסנול,Optigel WX  מוצקים ל 70.65% למינעת סדיקה</v>
      </c>
      <c r="I1196" t="str">
        <v xml:space="preserve">   על בסיס   057 083   Levasil CC401 3.% , 24.4 %VINNAPAS EZ 3019 , טקסנול,Optigel WX  מוצקים ל 70.5% למינעת סדיקה</v>
      </c>
    </row>
    <row r="1197">
      <c r="A1197" t="str">
        <v>הוראות יצור</v>
      </c>
      <c r="B1197" t="str">
        <v>שעה - הערות</v>
      </c>
      <c r="D1197" t="str">
        <v>חומר</v>
      </c>
      <c r="E1197" t="str">
        <v>כמות ק''ג</v>
      </c>
      <c r="I1197" t="str">
        <v>הוראות יצור</v>
      </c>
      <c r="J1197" t="str">
        <v>שעה - הערות</v>
      </c>
      <c r="L1197" t="str">
        <v>חומר</v>
      </c>
      <c r="M1197" t="str">
        <v>כמות ק''ג</v>
      </c>
    </row>
    <row r="1198">
      <c r="A1198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198" t="str">
        <v>water</v>
      </c>
      <c r="D1198" s="1">
        <v>0.1291</v>
      </c>
      <c r="E1198" s="2">
        <f>(E$1215*D1198)</f>
        <v>51.64</v>
      </c>
      <c r="I1198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198" t="str">
        <v>water</v>
      </c>
      <c r="L1198" s="1">
        <v>0.1296</v>
      </c>
      <c r="M1198" s="2">
        <f>(M1215*L1198)</f>
        <v>129.6</v>
      </c>
    </row>
    <row r="1199">
      <c r="C1199" t="str">
        <v>Vinkocide CMIF</v>
      </c>
      <c r="D1199" s="1">
        <v>0.002</v>
      </c>
      <c r="E1199" s="2">
        <f>(E$1215*D1199)</f>
        <v>0.8</v>
      </c>
      <c r="K1199" t="str">
        <v>Vinkocide CMIF</v>
      </c>
      <c r="L1199" s="1">
        <v>0.002</v>
      </c>
      <c r="M1199" s="2">
        <f>(M1215*L1199)</f>
        <v>2</v>
      </c>
    </row>
    <row r="1200">
      <c r="C1200" t="str">
        <v>Levasil CC401</v>
      </c>
      <c r="D1200" s="1">
        <v>0.03</v>
      </c>
      <c r="E1200" s="2">
        <f>(E$1215*D1200)</f>
        <v>12</v>
      </c>
      <c r="K1200" t="str">
        <v>Levasil CC401</v>
      </c>
      <c r="L1200" s="1">
        <v>0.03</v>
      </c>
      <c r="M1200" s="2">
        <f>(M1215*L1200)</f>
        <v>30</v>
      </c>
    </row>
    <row r="1201">
      <c r="C1201" t="str">
        <v>OROTAN 731</v>
      </c>
      <c r="D1201" s="1">
        <v>0.0021</v>
      </c>
      <c r="E1201" s="2">
        <f>(E$1215*D1201)</f>
        <v>0.84</v>
      </c>
      <c r="K1201" t="str">
        <v>OROTAN 731</v>
      </c>
      <c r="L1201" s="1">
        <v>0.002</v>
      </c>
      <c r="M1201" s="2">
        <f>(M1215*L1201)</f>
        <v>2</v>
      </c>
    </row>
    <row r="1202">
      <c r="C1202" t="str">
        <v>AGITAN 80</v>
      </c>
      <c r="D1202" s="1">
        <v>0.0005</v>
      </c>
      <c r="E1202" s="2">
        <f>(E$1215*D1202)</f>
        <v>0.2</v>
      </c>
      <c r="K1202" t="str">
        <v>AGITAN 80</v>
      </c>
      <c r="L1202" s="1">
        <v>0.0005</v>
      </c>
      <c r="M1202" s="2">
        <f>(M1215*L1202)</f>
        <v>0.5</v>
      </c>
    </row>
    <row r="1203">
      <c r="C1203" t="str">
        <v>COMBIZELL</v>
      </c>
      <c r="D1203" s="1">
        <v>0.0023</v>
      </c>
      <c r="E1203" s="2">
        <f>(E$1215*D1203)</f>
        <v>0.9199999999999999</v>
      </c>
      <c r="K1203" t="str">
        <v>COMBIZELL</v>
      </c>
      <c r="L1203" s="1">
        <v>0.0025</v>
      </c>
      <c r="M1203" s="2">
        <f>(M1215*L1203)</f>
        <v>2.5</v>
      </c>
    </row>
    <row r="1204">
      <c r="C1204" t="str">
        <v>AGITAN 80</v>
      </c>
      <c r="D1204" s="1">
        <v>0.001</v>
      </c>
      <c r="E1204" s="2">
        <f>(E$1215*D1204)</f>
        <v>0.4</v>
      </c>
      <c r="K1204" t="str">
        <v>AGITAN 80</v>
      </c>
      <c r="L1204" s="1">
        <v>0.001</v>
      </c>
      <c r="M1204" s="2">
        <f>(M1215*L1204)</f>
        <v>1</v>
      </c>
    </row>
    <row r="1205">
      <c r="A1205" t="str">
        <v>וודא שאין קצף ופזר אופטגל ללא גושים</v>
      </c>
      <c r="C1205" t="str">
        <v>Optigel WX</v>
      </c>
      <c r="D1205" s="1">
        <v>0.0015</v>
      </c>
      <c r="E1205" s="2">
        <f>(E$1215*D1205)</f>
        <v>0.6</v>
      </c>
      <c r="I1205" t="str">
        <v>וודא שאין קצף ופזר אופטגל ללא גושים</v>
      </c>
      <c r="K1205" t="str">
        <v>Optigel WX</v>
      </c>
      <c r="L1205" s="1">
        <v>0.0015</v>
      </c>
      <c r="M1205" s="2">
        <f>(M1215*L1205)</f>
        <v>1.5</v>
      </c>
    </row>
    <row r="1206">
      <c r="A1206" t="str">
        <v>הכנס ללא גושים ובסיום דספרסיה 5 דקות  בF 13</v>
      </c>
      <c r="C1206" t="str">
        <v>TIONA 826</v>
      </c>
      <c r="D1206" s="1">
        <v>0.117</v>
      </c>
      <c r="E1206" s="2">
        <f>(E$1215*D1206)</f>
        <v>46.800000000000004</v>
      </c>
      <c r="I1206" t="str">
        <v>הכנס ללא גושים ובסיום דספרסיה 5 דקות  בF 13</v>
      </c>
      <c r="K1206" t="str">
        <v>TIONA 826</v>
      </c>
      <c r="L1206" s="1">
        <v>0.117</v>
      </c>
      <c r="M1206" s="2">
        <f>(M1215*L1206)</f>
        <v>117</v>
      </c>
    </row>
    <row r="1207">
      <c r="A1207" t="str">
        <v>הכנס ללא גושים ובסיום דספרסיה 5 דקות  בF 15</v>
      </c>
      <c r="C1207" t="str">
        <v xml:space="preserve"> CHARMOR PM 40</v>
      </c>
      <c r="D1207" s="1">
        <v>0.097</v>
      </c>
      <c r="E1207" s="2">
        <f>(E$1215*D1207)</f>
        <v>38.800000000000004</v>
      </c>
      <c r="I1207" t="str">
        <v>הכנס ללא גושים ובסיום דספרסיה 5 דקות  בF 15</v>
      </c>
      <c r="K1207" t="str">
        <v xml:space="preserve"> CHARMOR PM 40</v>
      </c>
      <c r="L1207" s="1">
        <v>0.0971</v>
      </c>
      <c r="M1207" s="2">
        <f>(M1215*L1207)</f>
        <v>97.10000000000001</v>
      </c>
    </row>
    <row r="1208">
      <c r="A1208" t="str">
        <v>הכנס ללא גושים ובסיום דספרסיה 5 דקות  בF 1 מנה י PP-1624</v>
      </c>
      <c r="C1208" t="str">
        <v>MELAFINE</v>
      </c>
      <c r="D1208" s="1">
        <v>0.097</v>
      </c>
      <c r="E1208" s="2">
        <f>(E$1215*D1208)</f>
        <v>38.800000000000004</v>
      </c>
      <c r="I1208" t="str">
        <v>הכנס ללא גושים ובסיום דספרסיה 5 דקות  בF 1 מנה י PP-1624</v>
      </c>
      <c r="K1208" t="str">
        <v>MELAFINE</v>
      </c>
      <c r="L1208" s="1">
        <v>0.0971</v>
      </c>
      <c r="M1208" s="2">
        <f>(M1215*L1208)</f>
        <v>97.10000000000001</v>
      </c>
    </row>
    <row r="1209">
      <c r="A1209" t="str">
        <v xml:space="preserve">הכנס בזרם דק עד להומוגניות  בF 15 </v>
      </c>
      <c r="C1209" s="3" t="str">
        <v>Texanol</v>
      </c>
      <c r="D1209" s="1">
        <v>0.005</v>
      </c>
      <c r="E1209" s="2">
        <f>(E$1215*D1209)</f>
        <v>2</v>
      </c>
      <c r="I1209" t="str">
        <v xml:space="preserve">הכנס בזרם דק עד להומוגניות  בF 15 </v>
      </c>
      <c r="K1209" s="3" t="str">
        <v>Texanol</v>
      </c>
      <c r="L1209" s="1">
        <v>0.005</v>
      </c>
      <c r="M1209" s="2">
        <f>(M1215*L1209)</f>
        <v>5</v>
      </c>
    </row>
    <row r="1210" ht="27.600000000000005" customHeight="1">
      <c r="A1210" t="str">
        <v>הכנס ללא גושים  ב F18 עליה ל F21 ובסיום דספרסיה במשך 5 דקות . שים לב שלא יתחמם מידי</v>
      </c>
      <c r="C1210" s="3" t="str">
        <v>FR CROS 487</v>
      </c>
      <c r="D1210" s="1">
        <v>0.244</v>
      </c>
      <c r="E1210" s="2">
        <f>(E$1215*D1210)</f>
        <v>97.6</v>
      </c>
      <c r="I1210" t="str">
        <v>הכנס ללא גושים  ב F18 עליה ל F21 ובסיום דספרסיה במשך 5 דקות . שים לב שלא יתחמם מידי</v>
      </c>
      <c r="K1210" s="3" t="str">
        <v>FR CROS 487</v>
      </c>
      <c r="L1210" s="1">
        <v>0.2437</v>
      </c>
      <c r="M1210" s="2">
        <f>(M1215*L1210)</f>
        <v>243.7</v>
      </c>
    </row>
    <row r="1211">
      <c r="A1211" t="str">
        <v xml:space="preserve">הכנס בזרם דק עד להומוגניות </v>
      </c>
      <c r="C1211" s="3" t="str">
        <v>VINNAPAS EZ 3019</v>
      </c>
      <c r="D1211" s="6">
        <v>0.085</v>
      </c>
      <c r="E1211" s="2">
        <f>(E$1215*D1211)</f>
        <v>34</v>
      </c>
      <c r="I1211" t="str">
        <v xml:space="preserve">הכנס בזרם דק עד להומוגניות </v>
      </c>
      <c r="K1211" s="3" t="str">
        <v>VINNAPAS EZ 3019</v>
      </c>
      <c r="L1211" s="6">
        <v>0.085</v>
      </c>
      <c r="M1211" s="2">
        <f>(M1215*L1211)</f>
        <v>85</v>
      </c>
    </row>
    <row r="1212">
      <c r="A1212" t="str">
        <v>להכניס לאט ובהדרגה  לפוזור מלא ב12 F</v>
      </c>
      <c r="C1212" s="3" t="str">
        <v>Lapinus CF 10</v>
      </c>
      <c r="D1212" s="1">
        <v>0.03</v>
      </c>
      <c r="E1212" s="2">
        <f>(E$1215*D1212)</f>
        <v>12</v>
      </c>
      <c r="I1212" t="str">
        <v>להכניס לאט ובהדרגה  לפוזור מלא ב12 F</v>
      </c>
      <c r="K1212" s="3" t="str">
        <v>Lapinus CF 10</v>
      </c>
      <c r="L1212" s="1">
        <v>0.03</v>
      </c>
      <c r="M1212" s="2">
        <f>(M1215*L1212)</f>
        <v>30</v>
      </c>
    </row>
    <row r="1213">
      <c r="A1213" t="str">
        <v>הכנס בזרם דק עד להומוגניות  בF 12  לאחר מכן הכנס אגיטן ובסיום המשך 7 דקות ערבול</v>
      </c>
      <c r="C1213" s="3" t="str">
        <v>VINNAPAS EZ 3019</v>
      </c>
      <c r="D1213" s="1">
        <v>0.155</v>
      </c>
      <c r="E1213" s="2">
        <f>(E$1215*D1213)</f>
        <v>62</v>
      </c>
      <c r="I1213" t="str">
        <v>הכנס בזרם דק עד להומוגניות  בF 12  לאחר מכן הכנס אגיטן ובסיום המשך 7 דקות ערבול</v>
      </c>
      <c r="K1213" s="3" t="str">
        <v>VINNAPAS EZ 3019</v>
      </c>
      <c r="L1213" s="1">
        <v>0.1545</v>
      </c>
      <c r="M1213" s="2">
        <f>(M1215*L1213)</f>
        <v>154.5</v>
      </c>
    </row>
    <row r="1214">
      <c r="C1214" s="3" t="str">
        <v>AGITAN 80</v>
      </c>
      <c r="D1214" s="1">
        <v>0.0015</v>
      </c>
      <c r="E1214" s="2">
        <f>(E$1215*D1214)</f>
        <v>0.6</v>
      </c>
      <c r="K1214" s="3" t="str">
        <v>AGITAN 80</v>
      </c>
      <c r="L1214" s="1">
        <v>0.0015</v>
      </c>
      <c r="M1214" s="2">
        <f>(M1215*L1214)</f>
        <v>1.5</v>
      </c>
    </row>
    <row r="1215">
      <c r="D1215" s="4">
        <f>SUM(D1198:D1214)</f>
        <v>0.9999999999999999</v>
      </c>
      <c r="E1215" s="2">
        <v>400</v>
      </c>
      <c r="L1215" s="4">
        <f>SUM(L1198:L1214)</f>
        <v>1</v>
      </c>
      <c r="M1215" s="2">
        <v>1000</v>
      </c>
    </row>
    <row r="1216">
      <c r="K1216" s="7">
        <f>SUM(L1203+L1205+L1206+L1207+L1208+L1210+L1211*0.5+L1212+L1213*0.5)</f>
        <v>0.7086500000000001</v>
      </c>
      <c r="M1216" s="2">
        <f>SUM(M1198:M1214)</f>
        <v>1000</v>
      </c>
    </row>
    <row r="1220">
      <c r="A1220" t="str">
        <v xml:space="preserve">        1.05.2024-087   Fresco INTUMESCENT</v>
      </c>
      <c r="I1220" t="str">
        <v xml:space="preserve">       5.05.2024-088   Fresco INTUMESCENT</v>
      </c>
    </row>
    <row r="1221">
      <c r="A1221" t="str">
        <v xml:space="preserve">   על בסיס   057 086   Levasil CC401 3.% , 24.4 %VINNAPAS EZ 3019 , טקסנול,Optigel WX  מוצקים ל 70.5% למינעת סדיקה</v>
      </c>
      <c r="I1221" t="str">
        <v xml:space="preserve">   על בסיס   057 087   Levasil CC401 3.% , 24.4 %VINNAPAS EZ 3019 , טקסנול,Optigel WX  מוצקים ל 70.5% למינעת סדיקה</v>
      </c>
    </row>
    <row r="1222">
      <c r="A1222" t="str">
        <v>הוראות יצור</v>
      </c>
      <c r="B1222" t="str">
        <v>שעה - הערות</v>
      </c>
      <c r="D1222" t="str">
        <v>חומר</v>
      </c>
      <c r="E1222" t="str">
        <v>כמות ק''ג</v>
      </c>
      <c r="F1222" t="str">
        <v>מהירות</v>
      </c>
      <c r="I1222" t="str">
        <v>הוראות יצור</v>
      </c>
      <c r="J1222" t="str">
        <v>שעה - הערות</v>
      </c>
      <c r="L1222" t="str">
        <v>חומר</v>
      </c>
      <c r="M1222" t="str">
        <v>כמות ק''ג</v>
      </c>
      <c r="N1222" t="str">
        <v>מהירות</v>
      </c>
    </row>
    <row r="1223">
      <c r="A1223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223" t="str">
        <v>water</v>
      </c>
      <c r="D1223" s="1">
        <v>0.1296</v>
      </c>
      <c r="E1223" s="2">
        <f>(E1241*D1223)</f>
        <v>129.6</v>
      </c>
      <c r="F1223">
        <v>200</v>
      </c>
      <c r="I1223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223" t="str">
        <v>water</v>
      </c>
      <c r="L1223" s="1">
        <v>0.1296</v>
      </c>
      <c r="M1223" s="2">
        <f>(M1241*L1223)</f>
        <v>129.6</v>
      </c>
      <c r="N1223">
        <v>500</v>
      </c>
    </row>
    <row r="1224">
      <c r="C1224" t="str">
        <v>Vinkocide CMIF</v>
      </c>
      <c r="D1224" s="1">
        <v>0.002</v>
      </c>
      <c r="E1224" s="2">
        <f>(E1241*D1224)</f>
        <v>2</v>
      </c>
      <c r="K1224" t="str">
        <v>Vinkocide CMIF</v>
      </c>
      <c r="L1224" s="1">
        <v>0.002</v>
      </c>
      <c r="M1224" s="2">
        <f>(M1241*L1224)</f>
        <v>2</v>
      </c>
    </row>
    <row r="1225">
      <c r="B1225" t="str">
        <v>1דקה</v>
      </c>
      <c r="C1225" t="str">
        <v>Levasil CC401</v>
      </c>
      <c r="D1225" s="1">
        <v>0.03</v>
      </c>
      <c r="E1225" s="2">
        <f>(E1241*D1225)</f>
        <v>30</v>
      </c>
      <c r="J1225" t="str">
        <v>1דקה</v>
      </c>
      <c r="K1225" t="str">
        <v>Levasil CC401</v>
      </c>
      <c r="L1225" s="1">
        <v>0.03</v>
      </c>
      <c r="M1225" s="2">
        <f>(M1241*L1225)</f>
        <v>30</v>
      </c>
    </row>
    <row r="1226">
      <c r="C1226" t="str">
        <v>OROTAN 731</v>
      </c>
      <c r="D1226" s="1">
        <v>0.002</v>
      </c>
      <c r="E1226" s="2">
        <f>(E1241*D1226)</f>
        <v>2</v>
      </c>
      <c r="K1226" t="str">
        <v>OROTAN 731</v>
      </c>
      <c r="L1226" s="1">
        <v>0.002</v>
      </c>
      <c r="M1226" s="2">
        <f>(M1241*L1226)</f>
        <v>2</v>
      </c>
    </row>
    <row r="1227">
      <c r="B1227" t="str">
        <v>1דקה</v>
      </c>
      <c r="C1227" t="str">
        <v>AGITAN 80</v>
      </c>
      <c r="D1227" s="1">
        <v>0.0005</v>
      </c>
      <c r="E1227" s="2">
        <f>(E1241*D1227)</f>
        <v>0.5</v>
      </c>
      <c r="F1227">
        <v>230</v>
      </c>
      <c r="J1227" t="str">
        <v>1דקה</v>
      </c>
      <c r="K1227" t="str">
        <v>AGITAN 80</v>
      </c>
      <c r="L1227" s="1">
        <v>0.0005</v>
      </c>
      <c r="M1227" s="2">
        <f>(M1241*L1227)</f>
        <v>0.5</v>
      </c>
      <c r="N1227">
        <v>600</v>
      </c>
    </row>
    <row r="1228">
      <c r="C1228" t="str">
        <v>COMBIZELL</v>
      </c>
      <c r="D1228" s="1">
        <v>0.0025</v>
      </c>
      <c r="E1228" s="2">
        <f>(E1241*D1228)</f>
        <v>2.5</v>
      </c>
      <c r="F1228">
        <v>400</v>
      </c>
      <c r="J1228" s="3" t="str">
        <v>3דקות</v>
      </c>
      <c r="K1228" t="str">
        <v>COMBIZELL</v>
      </c>
      <c r="L1228" s="1">
        <v>0.0026</v>
      </c>
      <c r="M1228" s="2">
        <f>(M1241*L1228)</f>
        <v>2.6</v>
      </c>
      <c r="N1228">
        <v>800</v>
      </c>
    </row>
    <row r="1229">
      <c r="C1229" t="str">
        <v>AGITAN 80</v>
      </c>
      <c r="D1229" s="1">
        <v>0.0005</v>
      </c>
      <c r="E1229" s="2">
        <f>(E1241*D1229)</f>
        <v>0.5</v>
      </c>
      <c r="K1229" t="str">
        <v>AGITAN 80</v>
      </c>
      <c r="L1229" s="1">
        <v>0.0005</v>
      </c>
      <c r="M1229" s="2">
        <f>(M1241*L1229)</f>
        <v>0.5</v>
      </c>
    </row>
    <row r="1230">
      <c r="A1230" t="str">
        <v>וודא שאין קצף ופזר אופטגל ללא גושים</v>
      </c>
      <c r="C1230" t="str">
        <v>Optigel WX</v>
      </c>
      <c r="D1230" s="1">
        <v>0.0015</v>
      </c>
      <c r="E1230" s="2">
        <f>(E1241*D1230)</f>
        <v>1.5</v>
      </c>
      <c r="F1230">
        <v>1062</v>
      </c>
      <c r="I1230" t="str">
        <v>וודא שאין קצף ופזר אופטגל ללא גושים</v>
      </c>
      <c r="J1230" s="3" t="str">
        <v>10 דקות</v>
      </c>
      <c r="K1230" t="str">
        <v>Optigel WX</v>
      </c>
      <c r="L1230" s="1">
        <v>0.003</v>
      </c>
      <c r="M1230" s="2">
        <f>(M1241*L1230)</f>
        <v>3</v>
      </c>
      <c r="N1230">
        <v>1130</v>
      </c>
    </row>
    <row r="1231">
      <c r="C1231" t="str">
        <v>AGITAN 80</v>
      </c>
      <c r="D1231" s="1">
        <v>0.0005</v>
      </c>
      <c r="E1231" s="2">
        <f>(E1241*D1231)</f>
        <v>0.5</v>
      </c>
      <c r="K1231" t="str">
        <v>AGITAN 80</v>
      </c>
      <c r="L1231" s="1">
        <v>0.0005</v>
      </c>
      <c r="M1231" s="2">
        <f>(M1241*L1231)</f>
        <v>0.5</v>
      </c>
    </row>
    <row r="1232">
      <c r="A1232" t="str">
        <v>הכנס ללא גושים ובסיום דספרסיה 5 דקות  בF 13</v>
      </c>
      <c r="B1232" s="3" t="str">
        <v>5דקות</v>
      </c>
      <c r="C1232" t="str">
        <v>TIONA 826</v>
      </c>
      <c r="D1232" s="1">
        <v>0.117</v>
      </c>
      <c r="E1232" s="2">
        <f>(E1241*D1232)</f>
        <v>117</v>
      </c>
      <c r="F1232">
        <v>468</v>
      </c>
      <c r="I1232" t="str">
        <v>הכנס ללא גושים ובסיום דספרסיה 5 דקות  בF 13</v>
      </c>
      <c r="J1232" s="3" t="str">
        <v>5דקות</v>
      </c>
      <c r="K1232" t="str">
        <v>TIONA 826</v>
      </c>
      <c r="L1232" s="1">
        <v>0.1166</v>
      </c>
      <c r="M1232" s="2">
        <f>(M1241*L1232)</f>
        <v>116.6</v>
      </c>
      <c r="N1232">
        <v>800</v>
      </c>
    </row>
    <row r="1233">
      <c r="A1233" t="str">
        <v>הכנס ללא גושים ובסיום דספרסיה 5 דקות  בF 15</v>
      </c>
      <c r="C1233" t="str">
        <v xml:space="preserve"> CHARMOR PM 40</v>
      </c>
      <c r="D1233" s="1">
        <v>0.0971</v>
      </c>
      <c r="E1233" s="2">
        <f>(E1241*D1233)</f>
        <v>97.10000000000001</v>
      </c>
      <c r="F1233">
        <v>747</v>
      </c>
      <c r="I1233" t="str">
        <v>הכנס ללא גושים ובסיום דספרסיה 5 דקות  בF 15</v>
      </c>
      <c r="J1233" s="3" t="str">
        <v>5דקות</v>
      </c>
      <c r="K1233" t="str">
        <v xml:space="preserve"> CHARMOR PM 40</v>
      </c>
      <c r="L1233" s="1">
        <v>0.0967</v>
      </c>
      <c r="M1233" s="2">
        <f>(M1241*L1233)</f>
        <v>96.69999999999999</v>
      </c>
      <c r="N1233">
        <v>900</v>
      </c>
    </row>
    <row r="1234">
      <c r="A1234" t="str">
        <v>הכנס ללא גושים ובסיום דספרסיה 5 דקות  בF 1 מנה י PP-1624</v>
      </c>
      <c r="B1234" s="3" t="str">
        <v>2דקות</v>
      </c>
      <c r="C1234" t="str">
        <v>MELAFINE</v>
      </c>
      <c r="D1234" s="1">
        <v>0.0971</v>
      </c>
      <c r="E1234" s="2">
        <f>(E1241*D1234)</f>
        <v>97.10000000000001</v>
      </c>
      <c r="F1234">
        <v>989</v>
      </c>
      <c r="I1234" t="str">
        <v>הכנס ללא גושים ובסיום דספרסיה 5 דקות  בF 1 מנה י PP-1624</v>
      </c>
      <c r="J1234" s="3" t="str">
        <v>5דקות</v>
      </c>
      <c r="K1234" t="str">
        <v>MELAFINE</v>
      </c>
      <c r="L1234" s="1">
        <v>0.0967</v>
      </c>
      <c r="M1234" s="2">
        <f>(M1241*L1234)</f>
        <v>96.69999999999999</v>
      </c>
      <c r="N1234">
        <v>1130</v>
      </c>
    </row>
    <row r="1235">
      <c r="A1235" t="str">
        <v xml:space="preserve">הכנס בזרם דק עד להומוגניות  בF 15 </v>
      </c>
      <c r="C1235" s="3" t="str">
        <v>Texanol</v>
      </c>
      <c r="D1235" s="1">
        <v>0.005</v>
      </c>
      <c r="E1235" s="2">
        <f>(E1241*D1235)</f>
        <v>5</v>
      </c>
      <c r="F1235">
        <v>700</v>
      </c>
      <c r="I1235" t="str">
        <v xml:space="preserve">הכנס בזרם דק עד להומוגניות  בF 15 </v>
      </c>
      <c r="K1235" s="3" t="str">
        <v>Texanol</v>
      </c>
      <c r="L1235" s="1">
        <v>0.005</v>
      </c>
      <c r="M1235" s="2">
        <f>(M1241*L1235)</f>
        <v>5</v>
      </c>
      <c r="N1235">
        <v>100</v>
      </c>
    </row>
    <row r="1236" ht="27.600000000000005" customHeight="1">
      <c r="A1236" t="str">
        <v>הכנס ללא גושים  ב F18 עליה ל F21 ובסיום דספרסיה במשך 5 דקות . שים לב שלא יתחמם מידי</v>
      </c>
      <c r="B1236" s="3" t="str">
        <v>4דקות</v>
      </c>
      <c r="C1236" s="3" t="str">
        <v>FR CROS 487</v>
      </c>
      <c r="D1236" s="1">
        <v>0.2437</v>
      </c>
      <c r="E1236" s="2">
        <f>(E1241*D1236)</f>
        <v>243.7</v>
      </c>
      <c r="F1236">
        <v>1372</v>
      </c>
      <c r="I1236" t="str">
        <v>הכנס ללא גושים  ב F18 עליה ל F21 ובסיום דספרסיה במשך 5 דקות . שים לב שלא יתחמם מידי</v>
      </c>
      <c r="J1236" s="3" t="str">
        <v>5דקות</v>
      </c>
      <c r="K1236" s="3" t="str">
        <v>FR CROS 487</v>
      </c>
      <c r="L1236" s="1">
        <v>0.2433</v>
      </c>
      <c r="M1236" s="2">
        <f>(M1241*L1236)</f>
        <v>243.29999999999998</v>
      </c>
      <c r="N1236">
        <v>1372</v>
      </c>
    </row>
    <row r="1237">
      <c r="A1237" t="str">
        <v xml:space="preserve">הכנס בזרם דק עד להומוגניות </v>
      </c>
      <c r="C1237" s="3" t="str">
        <v>VINNAPAS EZ 3019</v>
      </c>
      <c r="D1237" s="6">
        <v>0.085</v>
      </c>
      <c r="E1237" s="2">
        <f>(E1241*D1237)</f>
        <v>85</v>
      </c>
      <c r="F1237">
        <v>727</v>
      </c>
      <c r="I1237" t="str">
        <v xml:space="preserve">הכנס בזרם דק עד להומוגניות </v>
      </c>
      <c r="K1237" s="3" t="str">
        <v>VINNAPAS EZ 3019</v>
      </c>
      <c r="L1237" s="6">
        <v>0.085</v>
      </c>
      <c r="M1237" s="2">
        <f>(M1241*L1237)</f>
        <v>85</v>
      </c>
      <c r="N1237">
        <v>900</v>
      </c>
    </row>
    <row r="1238">
      <c r="A1238" t="str">
        <v>להכניס לאט ובהדרגה  לפוזור מלא ב12 F</v>
      </c>
      <c r="B1238" s="3" t="str">
        <v>2דקות</v>
      </c>
      <c r="C1238" s="3" t="str">
        <v>Lapinus CF 10</v>
      </c>
      <c r="D1238" s="1">
        <v>0.03</v>
      </c>
      <c r="E1238" s="2">
        <f>(E1241*D1238)</f>
        <v>30</v>
      </c>
      <c r="F1238">
        <v>727</v>
      </c>
      <c r="I1238" t="str">
        <v>להכניס לאט ובהדרגה  לפוזור מלא ב12 F</v>
      </c>
      <c r="J1238" s="3" t="str">
        <v>3דקות</v>
      </c>
      <c r="K1238" s="3" t="str">
        <v>Lapinus CF 10</v>
      </c>
      <c r="L1238" s="1">
        <v>0.03</v>
      </c>
      <c r="M1238" s="2">
        <f>(M1241*L1238)</f>
        <v>30</v>
      </c>
      <c r="N1238">
        <v>1100</v>
      </c>
    </row>
    <row r="1239">
      <c r="A1239" t="str">
        <v>הכנס בזרם דק עד להומוגניות  בF 12  לאחר מכן הכנס אגיטן ובסיום המשך 7 דקות ערבול</v>
      </c>
      <c r="C1239" s="3" t="str">
        <v>VINNAPAS EZ 3019</v>
      </c>
      <c r="D1239" s="1">
        <v>0.1545</v>
      </c>
      <c r="E1239" s="2">
        <f>(E1241*D1239)</f>
        <v>154.5</v>
      </c>
      <c r="F1239" t="str">
        <v>600  400</v>
      </c>
      <c r="I1239" t="str">
        <v>הכנס בזרם דק עד להומוגניות  בF 12  לאחר מכן הכנס אגיטן ובסיום המשך 7 דקות ערבול</v>
      </c>
      <c r="K1239" s="3" t="str">
        <v>VINNAPAS EZ 3019</v>
      </c>
      <c r="L1239" s="1">
        <v>0.1545</v>
      </c>
      <c r="M1239" s="2">
        <f>(M1241*L1239)</f>
        <v>154.5</v>
      </c>
      <c r="N1239">
        <v>700</v>
      </c>
    </row>
    <row r="1240">
      <c r="B1240" s="3" t="str">
        <v>3דקות</v>
      </c>
      <c r="C1240" s="3" t="str">
        <v>AGITAN 80</v>
      </c>
      <c r="D1240" s="1">
        <v>0.0015</v>
      </c>
      <c r="E1240" s="2">
        <f>(E1241*D1240)</f>
        <v>1.5</v>
      </c>
      <c r="J1240" s="3" t="str">
        <v>3דקות</v>
      </c>
      <c r="K1240" s="3" t="str">
        <v>AGITAN 80</v>
      </c>
      <c r="L1240" s="1">
        <v>0.0015</v>
      </c>
      <c r="M1240" s="2">
        <f>(M1241*L1240)</f>
        <v>1.5</v>
      </c>
    </row>
    <row r="1241">
      <c r="D1241" s="4">
        <f>SUM(D1223:D1240)</f>
        <v>1</v>
      </c>
      <c r="E1241" s="2">
        <v>1000</v>
      </c>
      <c r="L1241" s="4">
        <f>SUM(L1223:L1240)</f>
        <v>0.9999999999999999</v>
      </c>
      <c r="M1241" s="2">
        <v>1000</v>
      </c>
    </row>
    <row r="1242">
      <c r="C1242" s="7">
        <f>SUM(D1228+D1230+D1232+D1233+D1234+D1236+D1237*0.5+D1238+D1239*0.5)</f>
        <v>0.7086500000000001</v>
      </c>
      <c r="E1242" s="2">
        <f>SUM(E1223:E1240)</f>
        <v>1000</v>
      </c>
      <c r="K1242" s="7">
        <f>SUM(L1228+L1230+L1232+L1233+L1234+L1236+L1237*0.5+L1238+L1239*0.5)</f>
        <v>0.70865</v>
      </c>
      <c r="M1242" s="2">
        <f>SUM(M1223:M1240)</f>
        <v>999.9999999999999</v>
      </c>
    </row>
    <row r="1246" ht="15" customHeight="1"/>
    <row r="1247">
      <c r="A1247" t="str">
        <v xml:space="preserve">       6.05.2024-089   Fresco INTUMESCENT</v>
      </c>
      <c r="I1247" t="str">
        <v xml:space="preserve">       8.05.2024-090   Fresco INTUMESCENT</v>
      </c>
    </row>
    <row r="1248">
      <c r="A1248" t="str">
        <v xml:space="preserve">   על בסיס   057 087   Levasil CC401 3.% , 24.4 %VINNAPAS EZ 3019 , טקסנול,Optigel WX  מוצקים ל 70.5% למינעת סדיקה</v>
      </c>
      <c r="I1248" t="str">
        <v xml:space="preserve">   על בסיס   057 089   Levasil CC401 3.% , 24.4 %VINNAPAS EZ 3019 , טקסנול,Optigel WX  מוצקים ל 70.5% למינעת סדיקה</v>
      </c>
    </row>
    <row r="1249">
      <c r="A1249" t="str">
        <v>הוראות יצור</v>
      </c>
      <c r="B1249" t="str">
        <v>שעה - הערות</v>
      </c>
      <c r="D1249" t="str">
        <v>חומר</v>
      </c>
      <c r="E1249" t="str">
        <v>כמות ק''ג</v>
      </c>
      <c r="F1249" t="str">
        <v>מהירות</v>
      </c>
      <c r="I1249" t="str">
        <v>הוראות יצור</v>
      </c>
      <c r="J1249" t="str">
        <v>שעה - הערות</v>
      </c>
      <c r="L1249" t="str">
        <v>חומר</v>
      </c>
      <c r="M1249" t="str">
        <v>כמות ק''ג</v>
      </c>
      <c r="N1249" t="str">
        <v>מהירות</v>
      </c>
    </row>
    <row r="1250">
      <c r="A1250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250" t="str">
        <v>water</v>
      </c>
      <c r="D1250" s="1">
        <v>0.1296</v>
      </c>
      <c r="E1250" s="2">
        <f>(E1268*D1250)</f>
        <v>129.6</v>
      </c>
      <c r="F1250">
        <v>500</v>
      </c>
      <c r="I1250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250" t="str">
        <v>water</v>
      </c>
      <c r="L1250" s="1">
        <v>0.1296</v>
      </c>
      <c r="M1250" s="2">
        <f>(M1268*L1250)</f>
        <v>129.6</v>
      </c>
      <c r="N1250">
        <v>500</v>
      </c>
    </row>
    <row r="1251">
      <c r="C1251" t="str">
        <v>Vinkocide CMIF</v>
      </c>
      <c r="D1251" s="1">
        <v>0.002</v>
      </c>
      <c r="E1251" s="2">
        <f>(E1268*D1251)</f>
        <v>2</v>
      </c>
      <c r="K1251" t="str">
        <v>Vinkocide CMIF</v>
      </c>
      <c r="L1251" s="1">
        <v>0.002</v>
      </c>
      <c r="M1251" s="2">
        <f>(M1268*L1251)</f>
        <v>2</v>
      </c>
    </row>
    <row r="1252">
      <c r="B1252" t="str">
        <v>1דקה</v>
      </c>
      <c r="C1252" t="str">
        <v>Levasil CC401</v>
      </c>
      <c r="D1252" s="1">
        <v>0.03</v>
      </c>
      <c r="E1252" s="2">
        <f>(E1268*D1252)</f>
        <v>30</v>
      </c>
      <c r="J1252" t="str">
        <v>1דקה</v>
      </c>
      <c r="K1252" t="str">
        <v>Levasil CC401</v>
      </c>
      <c r="L1252" s="1">
        <v>0.03</v>
      </c>
      <c r="M1252" s="2">
        <f>(M1268*L1252)</f>
        <v>30</v>
      </c>
    </row>
    <row r="1253">
      <c r="B1253" t="str">
        <v>3דקות</v>
      </c>
      <c r="C1253" t="str">
        <v>OROTAN 731</v>
      </c>
      <c r="D1253" s="1">
        <v>0.002</v>
      </c>
      <c r="E1253" s="2">
        <f>(E1268*D1253)</f>
        <v>2</v>
      </c>
      <c r="J1253" t="str">
        <v>3דקות</v>
      </c>
      <c r="K1253" t="str">
        <v>OROTAN 731</v>
      </c>
      <c r="L1253" s="1">
        <v>0.002</v>
      </c>
      <c r="M1253" s="2">
        <f>(M1268*L1253)</f>
        <v>2</v>
      </c>
    </row>
    <row r="1254">
      <c r="B1254" t="str">
        <v>1דקה</v>
      </c>
      <c r="C1254" t="str">
        <v>AGITAN 80</v>
      </c>
      <c r="D1254" s="1">
        <v>0.0005</v>
      </c>
      <c r="E1254" s="2">
        <f>(E1268*D1254)</f>
        <v>0.5</v>
      </c>
      <c r="F1254">
        <v>600</v>
      </c>
      <c r="J1254" t="str">
        <v>1דקה</v>
      </c>
      <c r="K1254" t="str">
        <v>AGITAN 80</v>
      </c>
      <c r="L1254" s="1">
        <v>0.0005</v>
      </c>
      <c r="M1254" s="2">
        <f>(M1268*L1254)</f>
        <v>0.5</v>
      </c>
      <c r="N1254">
        <v>600</v>
      </c>
    </row>
    <row r="1255">
      <c r="B1255" s="3" t="str">
        <v>3דקות</v>
      </c>
      <c r="C1255" t="str">
        <v>COMBIZELL</v>
      </c>
      <c r="D1255" s="1">
        <v>0.0026</v>
      </c>
      <c r="E1255" s="2">
        <f>(E1268*D1255)</f>
        <v>2.6</v>
      </c>
      <c r="F1255">
        <v>800</v>
      </c>
      <c r="J1255" s="3" t="str">
        <v>3דקות</v>
      </c>
      <c r="K1255" t="str">
        <v>COMBIZELL</v>
      </c>
      <c r="L1255" s="1">
        <v>0.0021</v>
      </c>
      <c r="M1255" s="2">
        <f>(M1268*L1255)</f>
        <v>2.1</v>
      </c>
      <c r="N1255">
        <v>800</v>
      </c>
    </row>
    <row r="1256">
      <c r="C1256" t="str">
        <v>AGITAN 80</v>
      </c>
      <c r="D1256" s="1">
        <v>0.0005</v>
      </c>
      <c r="E1256" s="2">
        <f>(E1268*D1256)</f>
        <v>0.5</v>
      </c>
      <c r="K1256" t="str">
        <v>AGITAN 80</v>
      </c>
      <c r="L1256" s="1">
        <v>0.0005</v>
      </c>
      <c r="M1256" s="2">
        <f>(M1268*L1256)</f>
        <v>0.5</v>
      </c>
    </row>
    <row r="1257" ht="27.600000000000005" customHeight="1">
      <c r="A1257" t="str">
        <v>וודא שאין קצף ופזר אופטגל ללא גושים- דספרסיה 10 דקות</v>
      </c>
      <c r="B1257" s="3" t="str">
        <v>10 דקות</v>
      </c>
      <c r="C1257" t="str">
        <v>Optigel WX</v>
      </c>
      <c r="D1257" s="1">
        <v>0.0045</v>
      </c>
      <c r="E1257" s="2">
        <f>(E1268*D1257)</f>
        <v>4.5</v>
      </c>
      <c r="F1257">
        <v>1130</v>
      </c>
      <c r="I1257" t="str">
        <v>וודא שאין קצף ופזר אופטגל ללא גושים- דספרסיה 10 דקות</v>
      </c>
      <c r="J1257" s="3" t="str">
        <v>10 דקות</v>
      </c>
      <c r="K1257" t="str">
        <v>Optigel WX</v>
      </c>
      <c r="L1257" s="1">
        <v>0.005</v>
      </c>
      <c r="M1257" s="2">
        <f>(M1268*L1257)</f>
        <v>5</v>
      </c>
      <c r="N1257">
        <v>1130</v>
      </c>
    </row>
    <row r="1258">
      <c r="C1258" t="str">
        <v>AGITAN 80</v>
      </c>
      <c r="D1258" s="1">
        <v>0.0005</v>
      </c>
      <c r="E1258" s="2">
        <f>(E1268*D1258)</f>
        <v>0.5</v>
      </c>
      <c r="K1258" t="str">
        <v>AGITAN 80</v>
      </c>
      <c r="L1258" s="1">
        <v>0.0005</v>
      </c>
      <c r="M1258" s="2">
        <f>(M1268*L1258)</f>
        <v>0.5</v>
      </c>
    </row>
    <row r="1259">
      <c r="A1259" t="str">
        <v>הכנס ללא גושים ובסיום דספרסיה 5 דקות  בF 13</v>
      </c>
      <c r="B1259" s="3" t="str">
        <v>5דקות</v>
      </c>
      <c r="C1259" t="str">
        <v>TIONA 826</v>
      </c>
      <c r="D1259" s="1">
        <v>0.116</v>
      </c>
      <c r="E1259" s="2">
        <f>(E1268*D1259)</f>
        <v>116</v>
      </c>
      <c r="F1259">
        <v>800</v>
      </c>
      <c r="I1259" t="str">
        <v>הכנס ללא גושים ובסיום דספרסיה 5 דקות  בF 13</v>
      </c>
      <c r="J1259" s="3" t="str">
        <v>5דקות</v>
      </c>
      <c r="K1259" t="str">
        <v>TIONA 826</v>
      </c>
      <c r="L1259" s="1">
        <v>0.116</v>
      </c>
      <c r="M1259" s="2">
        <f>(M1268*L1259)</f>
        <v>116</v>
      </c>
      <c r="N1259">
        <v>800</v>
      </c>
    </row>
    <row r="1260">
      <c r="A1260" t="str">
        <v>הכנס ללא גושים ובסיום דספרסיה 5 דקות  בF 15</v>
      </c>
      <c r="B1260" s="3" t="str">
        <v>5דקות</v>
      </c>
      <c r="C1260" t="str">
        <v xml:space="preserve"> CHARMOR PM 40</v>
      </c>
      <c r="D1260" s="1">
        <v>0.0964</v>
      </c>
      <c r="E1260" s="2">
        <f>(E1268*D1260)</f>
        <v>96.4</v>
      </c>
      <c r="F1260">
        <v>900</v>
      </c>
      <c r="I1260" t="str">
        <v>הכנס ללא גושים ובסיום דספרסיה 5 דקות  בF 15</v>
      </c>
      <c r="J1260" s="3" t="str">
        <v>5דקות</v>
      </c>
      <c r="K1260" t="str">
        <v xml:space="preserve"> CHARMOR PM 40</v>
      </c>
      <c r="L1260" s="1">
        <v>0.0964</v>
      </c>
      <c r="M1260" s="2">
        <f>(M1268*L1260)</f>
        <v>96.4</v>
      </c>
      <c r="N1260">
        <v>900</v>
      </c>
    </row>
    <row r="1261">
      <c r="A1261" t="str">
        <v>הכנס ללא גושים ובסיום דספרסיה 5 דקות  בF 1 מנה י PP-1624</v>
      </c>
      <c r="B1261" s="3" t="str">
        <v>5דקות</v>
      </c>
      <c r="C1261" t="str">
        <v>MELAFINE</v>
      </c>
      <c r="D1261" s="1">
        <v>0.0964</v>
      </c>
      <c r="E1261" s="2">
        <f>(E1268*D1261)</f>
        <v>96.4</v>
      </c>
      <c r="F1261">
        <v>1130</v>
      </c>
      <c r="I1261" t="str">
        <v>הכנס ללא גושים ובסיום דספרסיה 5 דקות  בF 1 מנה י PP-1624</v>
      </c>
      <c r="J1261" s="3" t="str">
        <v>5דקות</v>
      </c>
      <c r="K1261" t="str">
        <v>MELAFINE</v>
      </c>
      <c r="L1261" s="1">
        <v>0.0964</v>
      </c>
      <c r="M1261" s="2">
        <f>(M1268*L1261)</f>
        <v>96.4</v>
      </c>
      <c r="N1261">
        <v>1130</v>
      </c>
    </row>
    <row r="1262">
      <c r="A1262" t="str">
        <v xml:space="preserve">הכנס בזרם דק עד להומוגניות  בF 15 </v>
      </c>
      <c r="C1262" s="3" t="str">
        <v>Texanol</v>
      </c>
      <c r="D1262" s="1">
        <v>0.005</v>
      </c>
      <c r="E1262" s="2">
        <f>(E1268*D1262)</f>
        <v>5</v>
      </c>
      <c r="F1262">
        <v>700</v>
      </c>
      <c r="I1262" t="str">
        <v xml:space="preserve">הכנס בזרם דק עד להומוגניות  בF 15 </v>
      </c>
      <c r="K1262" s="3" t="str">
        <v>Texanol</v>
      </c>
      <c r="L1262" s="1">
        <v>0.005</v>
      </c>
      <c r="M1262" s="2">
        <f>(M1268*L1262)</f>
        <v>5</v>
      </c>
      <c r="N1262">
        <v>700</v>
      </c>
    </row>
    <row r="1263" ht="27.600000000000005" customHeight="1">
      <c r="A1263" t="str">
        <v>הכנס ללא גושים  ב F18 עליה ל F21 ובסיום דספרסיה במשך 5 דקות . שים לב שלא יתחמם מידי</v>
      </c>
      <c r="B1263" s="3" t="str">
        <v>5דקות</v>
      </c>
      <c r="C1263" s="3" t="str">
        <v>FR CROS 487</v>
      </c>
      <c r="D1263" s="1">
        <v>0.243</v>
      </c>
      <c r="E1263" s="2">
        <f>(E1268*D1263)</f>
        <v>243</v>
      </c>
      <c r="F1263">
        <v>1130</v>
      </c>
      <c r="I1263" t="str">
        <v>הכנס ללא גושים  ב F18 עליה ל F21 ובסיום דספרסיה במשך 5 דקות . שים לב שלא יתחמם מידי</v>
      </c>
      <c r="J1263" s="3" t="str">
        <v>5דקות</v>
      </c>
      <c r="K1263" s="3" t="str">
        <v>FR CROS 487</v>
      </c>
      <c r="L1263" s="1">
        <v>0.243</v>
      </c>
      <c r="M1263" s="2">
        <f>(M1268*L1263)</f>
        <v>243</v>
      </c>
      <c r="N1263">
        <v>1130</v>
      </c>
    </row>
    <row r="1264">
      <c r="A1264" t="str">
        <v xml:space="preserve">הכנס בזרם דק עד להומוגניות </v>
      </c>
      <c r="C1264" s="3" t="str">
        <v>VINNAPAS EZ 3019</v>
      </c>
      <c r="D1264" s="6">
        <v>0.085</v>
      </c>
      <c r="E1264" s="2">
        <f>(E1268*D1264)</f>
        <v>85</v>
      </c>
      <c r="F1264">
        <v>900</v>
      </c>
      <c r="I1264" t="str">
        <v xml:space="preserve">הכנס בזרם דק עד להומוגניות </v>
      </c>
      <c r="K1264" s="3" t="str">
        <v>VINNAPAS EZ 3019</v>
      </c>
      <c r="L1264" s="6">
        <v>0.085</v>
      </c>
      <c r="M1264" s="2">
        <f>(M1268*L1264)</f>
        <v>85</v>
      </c>
      <c r="N1264">
        <v>900</v>
      </c>
    </row>
    <row r="1265">
      <c r="A1265" t="str">
        <v>להכניס לאט ובהדרגה  לפוזור מלא ב12 F</v>
      </c>
      <c r="B1265" s="3" t="str">
        <v>3דקות</v>
      </c>
      <c r="C1265" s="3" t="str">
        <v>Lapinus CF 10</v>
      </c>
      <c r="D1265" s="1">
        <v>0.03</v>
      </c>
      <c r="E1265" s="2">
        <f>(E1268*D1265)</f>
        <v>30</v>
      </c>
      <c r="F1265">
        <v>1100</v>
      </c>
      <c r="I1265" t="str">
        <v>להכניס לאט ובהדרגה  לפוזור מלא ב12 F</v>
      </c>
      <c r="J1265" s="3" t="str">
        <v>3דקות</v>
      </c>
      <c r="K1265" s="3" t="str">
        <v>Lapinus CF 10</v>
      </c>
      <c r="L1265" s="1">
        <v>0.03</v>
      </c>
      <c r="M1265" s="2">
        <f>(M1268*L1265)</f>
        <v>30</v>
      </c>
      <c r="N1265">
        <v>1100</v>
      </c>
    </row>
    <row r="1266">
      <c r="A1266" t="str">
        <v>הכנס בזרם דק עד להומוגניות  בF 12  לאחר מכן הכנס אגיטן ובסיום המשך 7 דקות ערבול</v>
      </c>
      <c r="C1266" s="3" t="str">
        <v>VINNAPAS EZ 3019</v>
      </c>
      <c r="D1266" s="1">
        <v>0.1545</v>
      </c>
      <c r="E1266" s="2">
        <f>(E1268*D1266)</f>
        <v>154.5</v>
      </c>
      <c r="F1266">
        <v>700</v>
      </c>
      <c r="I1266" t="str">
        <v>הכנס בזרם דק עד להומוגניות  בF 12  לאחר מכן הכנס אגיטן ובסיום המשך 7 דקות ערבול</v>
      </c>
      <c r="K1266" s="3" t="str">
        <v>VINNAPAS EZ 3019</v>
      </c>
      <c r="L1266" s="1">
        <v>0.1545</v>
      </c>
      <c r="M1266" s="2">
        <f>(M1268*L1266)</f>
        <v>154.5</v>
      </c>
      <c r="N1266">
        <v>700</v>
      </c>
    </row>
    <row r="1267">
      <c r="B1267" s="3" t="str">
        <v>3דקות</v>
      </c>
      <c r="C1267" s="3" t="str">
        <v>AGITAN 80</v>
      </c>
      <c r="D1267" s="1">
        <v>0.0015</v>
      </c>
      <c r="E1267" s="2">
        <f>(E1268*D1267)</f>
        <v>1.5</v>
      </c>
      <c r="J1267" s="3" t="str">
        <v>3דקות</v>
      </c>
      <c r="K1267" s="3" t="str">
        <v>AGITAN 80</v>
      </c>
      <c r="L1267" s="1">
        <v>0.0015</v>
      </c>
      <c r="M1267" s="2">
        <f>(M1268*L1267)</f>
        <v>1.5</v>
      </c>
    </row>
    <row r="1268">
      <c r="D1268" s="1">
        <f>SUM(D1250:D1267)</f>
        <v>0.9999999999999999</v>
      </c>
      <c r="E1268" s="2">
        <v>1000</v>
      </c>
      <c r="L1268" s="1">
        <f>SUM(L1250:L1267)</f>
        <v>0.9999999999999999</v>
      </c>
      <c r="M1268" s="2">
        <v>1000</v>
      </c>
    </row>
    <row r="1269">
      <c r="C1269" s="7">
        <f>SUM(D1255+D1257+D1259+D1260+D1261+D1263+D1264*0.5+D1265+D1266*0.5)</f>
        <v>0.70865</v>
      </c>
      <c r="E1269" s="2">
        <f>SUM(E1250:E1267)</f>
        <v>1000</v>
      </c>
      <c r="K1269" s="7">
        <f>SUM(L1255+L1257+L1259+L1260+L1261+L1263+L1264*0.5+L1265+L1266*0.5)</f>
        <v>0.70865</v>
      </c>
      <c r="M1269" s="2">
        <f>SUM(M1250:M1267)</f>
        <v>1000</v>
      </c>
    </row>
    <row r="1273">
      <c r="A1273" t="str">
        <v xml:space="preserve">       9.05.2024-091   Fresco INTUMESCENT</v>
      </c>
      <c r="I1273" t="str">
        <v xml:space="preserve">      13.06.2024-089   Fresco INTUMESCENT</v>
      </c>
    </row>
    <row r="1274">
      <c r="A1274" t="str">
        <v xml:space="preserve">   על בסיס   057 089   Levasil CC401 3.% , 24.4 %VINNAPAS EZ 3019 , טקסנול,Optigel WX  מוצקים ל 70.5% למינעת סדיקה</v>
      </c>
      <c r="I1274" t="str">
        <v xml:space="preserve">   על בסיס   057 087   Levasil CC401 3.% , 24.4 %VINNAPAS EZ 3019 , טקסנול,Optigel WX  מוצקים ל 70.5% למינעת סדיקה</v>
      </c>
    </row>
    <row r="1275">
      <c r="A1275" t="str">
        <v>הוראות יצור</v>
      </c>
      <c r="B1275" t="str">
        <v>שעה - הערות</v>
      </c>
      <c r="D1275" t="str">
        <v>חומר</v>
      </c>
      <c r="E1275" t="str">
        <v>כמות ק''ג</v>
      </c>
      <c r="F1275" t="str">
        <v>מהירות</v>
      </c>
      <c r="I1275" t="str">
        <v>הוראות יצור</v>
      </c>
      <c r="J1275" t="str">
        <v>שעה - הערות</v>
      </c>
      <c r="L1275" t="str">
        <v>חומר</v>
      </c>
      <c r="M1275" t="str">
        <v>כמות ק''ג</v>
      </c>
      <c r="N1275" t="str">
        <v>מהירות</v>
      </c>
    </row>
    <row r="1276" ht="15" customHeight="1">
      <c r="A1276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276" t="str">
        <v>water</v>
      </c>
      <c r="D1276" s="1">
        <v>0.13</v>
      </c>
      <c r="E1276" s="2">
        <f>(E1294*D1276)</f>
        <v>130</v>
      </c>
      <c r="F1276">
        <v>500</v>
      </c>
      <c r="I1276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276" t="str">
        <v>water</v>
      </c>
      <c r="L1276" s="1">
        <v>0.1296</v>
      </c>
      <c r="M1276" s="2">
        <f>(M1294*L1276)</f>
        <v>583.1999999999999</v>
      </c>
      <c r="N1276">
        <v>500</v>
      </c>
    </row>
    <row r="1277">
      <c r="C1277" t="str">
        <v>Vinkocide CMIF</v>
      </c>
      <c r="D1277" s="1">
        <v>0.002</v>
      </c>
      <c r="E1277" s="2">
        <f>(E1294*D1277)</f>
        <v>2</v>
      </c>
      <c r="K1277" t="str">
        <v>Vinkocide CMIF</v>
      </c>
      <c r="L1277" s="1">
        <v>0.002</v>
      </c>
      <c r="M1277" s="2">
        <f>(M1294*L1277)</f>
        <v>9</v>
      </c>
    </row>
    <row r="1278">
      <c r="B1278" t="str">
        <v>1דקה</v>
      </c>
      <c r="C1278" t="str">
        <v>Levasil CC401</v>
      </c>
      <c r="D1278" s="1">
        <v>0.03</v>
      </c>
      <c r="E1278" s="2">
        <f>(E1294*D1278)</f>
        <v>30</v>
      </c>
      <c r="J1278" t="str">
        <v>1דקה</v>
      </c>
      <c r="K1278" t="str">
        <v>Levasil CC401</v>
      </c>
      <c r="L1278" s="1">
        <v>0.03</v>
      </c>
      <c r="M1278" s="2">
        <f>(M1294*L1278)</f>
        <v>135</v>
      </c>
    </row>
    <row r="1279">
      <c r="C1279" t="str">
        <v>OROTAN 731</v>
      </c>
      <c r="D1279" s="1">
        <v>0.002</v>
      </c>
      <c r="E1279" s="2">
        <f>(E1294*D1279)</f>
        <v>2</v>
      </c>
      <c r="J1279" t="str">
        <v>3דקות</v>
      </c>
      <c r="K1279" t="str">
        <v>OROTAN 731</v>
      </c>
      <c r="L1279" s="1">
        <v>0.002</v>
      </c>
      <c r="M1279" s="2">
        <f>(M1294*L1279)</f>
        <v>9</v>
      </c>
    </row>
    <row r="1280">
      <c r="B1280" t="str">
        <v>3דקה</v>
      </c>
      <c r="C1280" t="str">
        <v>AGITAN 80</v>
      </c>
      <c r="D1280" s="1">
        <v>0.0005</v>
      </c>
      <c r="E1280" s="2">
        <f>(E1294*D1280)</f>
        <v>0.5</v>
      </c>
      <c r="F1280">
        <v>600</v>
      </c>
      <c r="J1280" t="str">
        <v>1דקה</v>
      </c>
      <c r="K1280" t="str">
        <v>AGITAN 80</v>
      </c>
      <c r="L1280" s="1">
        <v>0.0005</v>
      </c>
      <c r="M1280" s="2">
        <f>(M1294*L1280)</f>
        <v>2.25</v>
      </c>
      <c r="N1280">
        <v>600</v>
      </c>
    </row>
    <row r="1281">
      <c r="B1281" s="3" t="str">
        <v>3דקות</v>
      </c>
      <c r="C1281" t="str">
        <v>COMBIZELL</v>
      </c>
      <c r="D1281" s="1">
        <v>0.0015</v>
      </c>
      <c r="E1281" s="2">
        <f>(E1294*D1281)</f>
        <v>1.5</v>
      </c>
      <c r="F1281">
        <v>800</v>
      </c>
      <c r="J1281" s="3" t="str">
        <v>3דקות</v>
      </c>
      <c r="K1281" t="str">
        <v>COMBIZELL</v>
      </c>
      <c r="L1281" s="1">
        <v>0.0026</v>
      </c>
      <c r="M1281" s="2">
        <f>(M1294*L1281)</f>
        <v>11.7</v>
      </c>
      <c r="N1281">
        <v>800</v>
      </c>
    </row>
    <row r="1282">
      <c r="C1282" t="str">
        <v>AGITAN 80</v>
      </c>
      <c r="D1282" s="1">
        <v>0.0005</v>
      </c>
      <c r="E1282" s="2">
        <f>(E1294*D1282)</f>
        <v>0.5</v>
      </c>
      <c r="K1282" t="str">
        <v>AGITAN 80</v>
      </c>
      <c r="L1282" s="1">
        <v>0.0005</v>
      </c>
      <c r="M1282" s="2">
        <f>(M1294*L1282)</f>
        <v>2.25</v>
      </c>
    </row>
    <row r="1283" ht="27.600000000000005" customHeight="1">
      <c r="A1283" t="str">
        <v>וודא שאין קצף ופזר אופטגל ללא גושים- דספרסיה 10 דקות</v>
      </c>
      <c r="B1283" s="3" t="str">
        <v>10 דקות</v>
      </c>
      <c r="C1283" t="str">
        <v>Optigel WX</v>
      </c>
      <c r="D1283" s="1">
        <v>0.005</v>
      </c>
      <c r="E1283" s="2">
        <f>(E1294*D1283)</f>
        <v>5</v>
      </c>
      <c r="F1283">
        <v>1130</v>
      </c>
      <c r="I1283" t="str">
        <v>וודא שאין קצף ופזר אופטגל ללא גושים- דספרסיה 10 דקות</v>
      </c>
      <c r="J1283" s="3" t="str">
        <v>10 דקות</v>
      </c>
      <c r="K1283" t="str">
        <v>Optigel WX</v>
      </c>
      <c r="L1283" s="1">
        <v>0.0045</v>
      </c>
      <c r="M1283" s="2">
        <f>(M1294*L1283)</f>
        <v>20.25</v>
      </c>
      <c r="N1283">
        <v>1130</v>
      </c>
    </row>
    <row r="1284">
      <c r="C1284" t="str">
        <v>AGITAN 80</v>
      </c>
      <c r="D1284" s="1">
        <v>0.0005</v>
      </c>
      <c r="E1284" s="2">
        <f>(E1294*D1284)</f>
        <v>0.5</v>
      </c>
      <c r="K1284" t="str">
        <v>AGITAN 80</v>
      </c>
      <c r="L1284" s="1">
        <v>0.0005</v>
      </c>
      <c r="M1284" s="2">
        <f>(M1294*L1284)</f>
        <v>2.25</v>
      </c>
    </row>
    <row r="1285">
      <c r="A1285" t="str">
        <v>הכנס ללא גושים ובסיום דספרסיה 5 דקות  בF 13</v>
      </c>
      <c r="B1285" s="3" t="str">
        <v>5דקות</v>
      </c>
      <c r="C1285" t="str">
        <v>TIONA 826</v>
      </c>
      <c r="D1285" s="1">
        <v>0.116</v>
      </c>
      <c r="E1285" s="2">
        <f>(E1294*D1285)</f>
        <v>116</v>
      </c>
      <c r="F1285">
        <v>800</v>
      </c>
      <c r="I1285" t="str">
        <v>הכנס ללא גושים ובסיום דספרסיה 5 דקות  בF 13</v>
      </c>
      <c r="J1285" s="3" t="str">
        <v>5דקות</v>
      </c>
      <c r="K1285" t="str">
        <v>TIONA 826</v>
      </c>
      <c r="L1285" s="1">
        <v>0.116</v>
      </c>
      <c r="M1285" s="2">
        <f>(M1294*L1285)</f>
        <v>522</v>
      </c>
      <c r="N1285">
        <v>800</v>
      </c>
    </row>
    <row r="1286">
      <c r="A1286" t="str">
        <v>הכנס ללא גושים ובסיום דספרסיה 5 דקות  בF 15</v>
      </c>
      <c r="B1286" s="3" t="str">
        <v>5דקות</v>
      </c>
      <c r="C1286" t="str">
        <v xml:space="preserve"> CHARMOR PM 40</v>
      </c>
      <c r="D1286" s="1">
        <v>0.0964</v>
      </c>
      <c r="E1286" s="2">
        <f>(E1294*D1286)</f>
        <v>96.4</v>
      </c>
      <c r="F1286">
        <v>900</v>
      </c>
      <c r="I1286" t="str">
        <v>הכנס ללא גושים ובסיום דספרסיה 5 דקות  בF 15</v>
      </c>
      <c r="J1286" s="3" t="str">
        <v>5דקות</v>
      </c>
      <c r="K1286" t="str">
        <v xml:space="preserve"> CHARMOR PM 40</v>
      </c>
      <c r="L1286" s="1">
        <v>0.0964</v>
      </c>
      <c r="M1286" s="2">
        <f>(M1294*L1286)</f>
        <v>433.8</v>
      </c>
      <c r="N1286">
        <v>900</v>
      </c>
    </row>
    <row r="1287">
      <c r="A1287" t="str">
        <v>הכנס ללא גושים ובסיום דספרסיה 5 דקות  בF 1 מנה י PP-1624</v>
      </c>
      <c r="B1287" s="3" t="str">
        <v>5דקות</v>
      </c>
      <c r="C1287" t="str">
        <v>MELAFINE</v>
      </c>
      <c r="D1287" s="1">
        <v>0.0964</v>
      </c>
      <c r="E1287" s="2">
        <f>(E1294*D1287)</f>
        <v>96.4</v>
      </c>
      <c r="F1287">
        <v>1130</v>
      </c>
      <c r="I1287" t="str">
        <v>הכנס ללא גושים ובסיום דספרסיה 5 דקות  בF 1 מנה י PP-1624</v>
      </c>
      <c r="J1287" s="3" t="str">
        <v>5דקות</v>
      </c>
      <c r="K1287" t="str">
        <v>MELAFINE</v>
      </c>
      <c r="L1287" s="1">
        <v>0.0964</v>
      </c>
      <c r="M1287" s="2">
        <f>(M1294*L1287)</f>
        <v>433.8</v>
      </c>
      <c r="N1287">
        <v>1130</v>
      </c>
    </row>
    <row r="1288">
      <c r="A1288" t="str">
        <v xml:space="preserve">הכנס בזרם דק עד להומוגניות  בF 15 </v>
      </c>
      <c r="C1288" s="3" t="str">
        <v>Texanol</v>
      </c>
      <c r="D1288" s="1">
        <v>0.005</v>
      </c>
      <c r="E1288" s="2">
        <f>(E1294*D1288)</f>
        <v>5</v>
      </c>
      <c r="F1288">
        <v>700</v>
      </c>
      <c r="I1288" t="str">
        <v xml:space="preserve">הכנס בזרם דק עד להומוגניות  בF 15 </v>
      </c>
      <c r="K1288" s="3" t="str">
        <v>Texanol</v>
      </c>
      <c r="L1288" s="1">
        <v>0.005</v>
      </c>
      <c r="M1288" s="2">
        <f>(M1294*L1288)</f>
        <v>22.5</v>
      </c>
      <c r="N1288">
        <v>700</v>
      </c>
    </row>
    <row r="1289" ht="27.600000000000005" customHeight="1">
      <c r="A1289" t="str">
        <v>הכנס ללא גושים  ב F18 עליה ל F21 ובסיום דספרסיה במשך 5 דקות . שים לב שלא יתחמם מידי</v>
      </c>
      <c r="B1289" s="3" t="str">
        <v>5דקות</v>
      </c>
      <c r="C1289" s="3" t="str">
        <v>FR CROS 487</v>
      </c>
      <c r="D1289" s="1">
        <v>0.243</v>
      </c>
      <c r="E1289" s="2">
        <f>(E1294*D1289)</f>
        <v>243</v>
      </c>
      <c r="F1289">
        <v>1130</v>
      </c>
      <c r="I1289" t="str">
        <v>הכנס ללא גושים  ב F18 עליה ל F21 ובסיום דספרסיה במשך 5 דקות . שים לב שלא יתחמם מידי</v>
      </c>
      <c r="J1289" s="3" t="str">
        <v>5דקות</v>
      </c>
      <c r="K1289" s="3" t="str">
        <v>FR CROS 487</v>
      </c>
      <c r="L1289" s="1">
        <v>0.243</v>
      </c>
      <c r="M1289" s="2">
        <f>(M1294*L1289)</f>
        <v>1093.5</v>
      </c>
      <c r="N1289">
        <v>1130</v>
      </c>
    </row>
    <row r="1290">
      <c r="A1290" t="str">
        <v xml:space="preserve">הכנס בזרם דק עד להומוגניות </v>
      </c>
      <c r="C1290" s="3" t="str">
        <v>VINNAPAS EZ 3019</v>
      </c>
      <c r="D1290" s="6">
        <v>0.085</v>
      </c>
      <c r="E1290" s="2">
        <f>(E1294*D1290)</f>
        <v>85</v>
      </c>
      <c r="F1290">
        <v>900</v>
      </c>
      <c r="I1290" t="str">
        <v xml:space="preserve">הכנס בזרם דק עד להומוגניות </v>
      </c>
      <c r="K1290" s="3" t="str">
        <v>VINNAPAS EZ 3019</v>
      </c>
      <c r="L1290" s="6">
        <v>0.085</v>
      </c>
      <c r="M1290" s="2">
        <f>(M1294*L1290)</f>
        <v>382.5</v>
      </c>
      <c r="N1290">
        <v>900</v>
      </c>
    </row>
    <row r="1291">
      <c r="A1291" t="str">
        <v>להכניס לאט ובהדרגה  לפוזור מלא ב12 F</v>
      </c>
      <c r="B1291" s="3" t="str">
        <v>3דקות</v>
      </c>
      <c r="C1291" s="3" t="str">
        <v>Lapinus CF 10</v>
      </c>
      <c r="D1291" s="1">
        <v>0.03</v>
      </c>
      <c r="E1291" s="2">
        <f>(E1294*D1291)</f>
        <v>30</v>
      </c>
      <c r="F1291">
        <v>1100</v>
      </c>
      <c r="I1291" t="str">
        <v>להכניס לאט ובהדרגה  לפוזור מלא ב12 F</v>
      </c>
      <c r="J1291" s="3" t="str">
        <v>3דקות</v>
      </c>
      <c r="K1291" s="3" t="str">
        <v>Lapinus CF 10</v>
      </c>
      <c r="L1291" s="1">
        <v>0.03</v>
      </c>
      <c r="M1291" s="2">
        <f>(M1294*L1291)</f>
        <v>135</v>
      </c>
      <c r="N1291">
        <v>1100</v>
      </c>
    </row>
    <row r="1292" ht="15" customHeight="1">
      <c r="A1292" t="str">
        <v>הכנס בזרם דק עד להומוגניות  בF 12  לאחר מכן הכנס אגיטן ובסיום המשך 7 דקות ערבול</v>
      </c>
      <c r="C1292" s="3" t="str">
        <v>VINNAPAS EZ 3019</v>
      </c>
      <c r="D1292" s="1">
        <v>0.1545</v>
      </c>
      <c r="E1292" s="2">
        <f>(E1294*D1292)</f>
        <v>154.5</v>
      </c>
      <c r="F1292">
        <v>700</v>
      </c>
      <c r="I1292" t="str">
        <v>הכנס בזרם דק עד להומוגניות  בF 12  לאחר מכן הכנס אגיטן ובסיום המשך 7 דקות ערבול</v>
      </c>
      <c r="K1292" s="3" t="str">
        <v>VINNAPAS EZ 3019</v>
      </c>
      <c r="L1292" s="1">
        <v>0.1545</v>
      </c>
      <c r="M1292" s="2">
        <f>(M1294*L1292)</f>
        <v>695.25</v>
      </c>
      <c r="N1292">
        <v>700</v>
      </c>
    </row>
    <row r="1293">
      <c r="B1293" s="3" t="str">
        <v>3דקות</v>
      </c>
      <c r="C1293" s="3" t="str">
        <v>AGITAN 80</v>
      </c>
      <c r="D1293" s="1">
        <v>0.0015</v>
      </c>
      <c r="E1293" s="2">
        <f>(E1294*D1293)</f>
        <v>1.5</v>
      </c>
      <c r="J1293" s="3" t="str">
        <v>3דקות</v>
      </c>
      <c r="K1293" s="3" t="str">
        <v>AGITAN 80</v>
      </c>
      <c r="L1293" s="1">
        <v>0.0015</v>
      </c>
      <c r="M1293" s="2">
        <f>(M1294*L1293)</f>
        <v>6.75</v>
      </c>
    </row>
    <row r="1294">
      <c r="D1294" s="1">
        <f>SUM(D1276:D1293)</f>
        <v>0.9997999999999999</v>
      </c>
      <c r="E1294" s="2">
        <v>1000</v>
      </c>
      <c r="L1294" s="1">
        <f>SUM(L1276:L1293)</f>
        <v>0.9999999999999999</v>
      </c>
      <c r="M1294" s="2">
        <v>4500</v>
      </c>
    </row>
    <row r="1295">
      <c r="C1295" s="7">
        <f>SUM(D1281+D1283+D1285+D1286+D1287+D1289+D1290*0.5+D1291+D1292*0.5)</f>
        <v>0.7080500000000001</v>
      </c>
      <c r="E1295" s="2">
        <f>SUM(E1276:E1293)</f>
        <v>999.8</v>
      </c>
      <c r="K1295" s="7">
        <f>SUM(L1281+L1283+L1285+L1286+L1287+L1289+L1290*0.5+L1291+L1292*0.5)</f>
        <v>0.70865</v>
      </c>
      <c r="M1295" s="2">
        <f>SUM(M1276:M1293)</f>
        <v>4500</v>
      </c>
    </row>
    <row r="1300">
      <c r="A1300" t="str">
        <v xml:space="preserve">      1 9.05.2024-092   Fresco INTUMESCENT</v>
      </c>
      <c r="I1300" t="str">
        <v xml:space="preserve">      20.05.2024-093   Fresco INTUMESCENT</v>
      </c>
    </row>
    <row r="1301">
      <c r="A1301" t="str">
        <v xml:space="preserve">   על בסיס   057 091   Levasil CC401 3.% , 24.4 %VINNAPAS EZ 3019 , טקסנול,Optigel WX Viscotex 730 מוצקים ל 70.5% למינעת סדיקה</v>
      </c>
      <c r="I1301" t="str">
        <v xml:space="preserve">   על בסיס   057 091   Levasil CC401 3.% , 24.4 %VINNAPAS EZ 3019 , טקסנול,Optigel WX, RHEOLATE 185 מוצקים ל 70.5% למינעת סדיקה</v>
      </c>
    </row>
    <row r="1302">
      <c r="A1302" t="str">
        <v>הוראות יצור</v>
      </c>
      <c r="B1302" t="str">
        <v>שעה - הערות</v>
      </c>
      <c r="D1302" t="str">
        <v>חומר</v>
      </c>
      <c r="E1302" t="str">
        <v>כמות ק''ג</v>
      </c>
      <c r="F1302" t="str">
        <v>מהירות</v>
      </c>
      <c r="I1302" t="str">
        <v>הוראות יצור</v>
      </c>
      <c r="J1302" t="str">
        <v>שעה - הערות</v>
      </c>
      <c r="L1302" t="str">
        <v>חומר</v>
      </c>
      <c r="M1302" t="str">
        <v>כמות ק''ג</v>
      </c>
      <c r="N1302" t="str">
        <v>מהירות</v>
      </c>
    </row>
    <row r="1303">
      <c r="A1303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303" t="str">
        <v>water</v>
      </c>
      <c r="D1303" s="1">
        <v>0.1288</v>
      </c>
      <c r="E1303" s="2">
        <f>(E1322*D1303)</f>
        <v>128.8</v>
      </c>
      <c r="F1303">
        <v>500</v>
      </c>
      <c r="I1303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303" t="str">
        <v>water</v>
      </c>
      <c r="L1303" s="1">
        <v>0.1288</v>
      </c>
      <c r="M1303" s="2">
        <f>(M1322*L1303)</f>
        <v>128.8</v>
      </c>
      <c r="N1303">
        <v>500</v>
      </c>
    </row>
    <row r="1304">
      <c r="C1304" t="str">
        <v>Vinkocide CMIF</v>
      </c>
      <c r="D1304" s="1">
        <v>0.002</v>
      </c>
      <c r="E1304" s="2">
        <f>(E1322*D1304)</f>
        <v>2</v>
      </c>
      <c r="K1304" t="str">
        <v>Vinkocide CMIF</v>
      </c>
      <c r="L1304" s="1">
        <v>0.002</v>
      </c>
      <c r="M1304" s="2">
        <f>(M1322*L1304)</f>
        <v>2</v>
      </c>
    </row>
    <row r="1305">
      <c r="B1305" t="str">
        <v>1דקה</v>
      </c>
      <c r="C1305" t="str">
        <v>Levasil CC401</v>
      </c>
      <c r="D1305" s="1">
        <v>0.03</v>
      </c>
      <c r="E1305" s="2">
        <f>(E1322*D1305)</f>
        <v>30</v>
      </c>
      <c r="J1305" t="str">
        <v>1דקה</v>
      </c>
      <c r="K1305" t="str">
        <v>Levasil CC401</v>
      </c>
      <c r="L1305" s="1">
        <v>0.03</v>
      </c>
      <c r="M1305" s="2">
        <f>(M1322*L1305)</f>
        <v>30</v>
      </c>
    </row>
    <row r="1306">
      <c r="C1306" t="str">
        <v>OROTAN 731</v>
      </c>
      <c r="D1306" s="1">
        <v>0.002</v>
      </c>
      <c r="E1306" s="2">
        <f>(E1322*D1306)</f>
        <v>2</v>
      </c>
      <c r="K1306" t="str">
        <v>OROTAN 731</v>
      </c>
      <c r="L1306" s="1">
        <v>0.002</v>
      </c>
      <c r="M1306" s="2">
        <f>(M1322*L1306)</f>
        <v>2</v>
      </c>
    </row>
    <row r="1307">
      <c r="B1307" t="str">
        <v>3דקה</v>
      </c>
      <c r="C1307" t="str">
        <v>AGITAN 80</v>
      </c>
      <c r="D1307" s="1">
        <v>0.0005</v>
      </c>
      <c r="E1307" s="2">
        <f>(E1322*D1307)</f>
        <v>0.5</v>
      </c>
      <c r="F1307">
        <v>600</v>
      </c>
      <c r="J1307" t="str">
        <v>3דקה</v>
      </c>
      <c r="K1307" t="str">
        <v>AGITAN 80</v>
      </c>
      <c r="L1307" s="1">
        <v>0.0005</v>
      </c>
      <c r="M1307" s="2">
        <f>(M1322*L1307)</f>
        <v>0.5</v>
      </c>
      <c r="N1307">
        <v>600</v>
      </c>
    </row>
    <row r="1308">
      <c r="B1308" s="3" t="str">
        <v>3דקות</v>
      </c>
      <c r="C1308" t="str">
        <v>COMBIZELL</v>
      </c>
      <c r="D1308" s="1">
        <v>0.0015</v>
      </c>
      <c r="E1308" s="2">
        <f>(E1322*D1308)</f>
        <v>1.5</v>
      </c>
      <c r="F1308">
        <v>800</v>
      </c>
      <c r="J1308" s="3" t="str">
        <v>3דקות</v>
      </c>
      <c r="K1308" t="str">
        <v>COMBIZELL</v>
      </c>
      <c r="L1308" s="1">
        <v>0.0015</v>
      </c>
      <c r="M1308" s="2">
        <f>(M1322*L1308)</f>
        <v>1.5</v>
      </c>
      <c r="N1308">
        <v>800</v>
      </c>
    </row>
    <row r="1309">
      <c r="C1309" t="str">
        <v>AGITAN 80</v>
      </c>
      <c r="D1309" s="1">
        <v>0.0005</v>
      </c>
      <c r="E1309" s="2">
        <f>(E1322*D1309)</f>
        <v>0.5</v>
      </c>
      <c r="K1309" t="str">
        <v>AGITAN 80</v>
      </c>
      <c r="L1309" s="1">
        <v>0.0005</v>
      </c>
      <c r="M1309" s="2">
        <f>(M1322*L1309)</f>
        <v>0.5</v>
      </c>
    </row>
    <row r="1310" ht="27.600000000000005" customHeight="1">
      <c r="A1310" t="str">
        <v>וודא שאין קצף ופזר אופטגל ללא גושים- דספרסיה 10 דקות</v>
      </c>
      <c r="B1310" s="3" t="str">
        <v>10 דקות</v>
      </c>
      <c r="C1310" t="str">
        <v>Optigel WX</v>
      </c>
      <c r="D1310" s="1">
        <v>0.005</v>
      </c>
      <c r="E1310" s="2">
        <f>(E1322*D1310)</f>
        <v>5</v>
      </c>
      <c r="F1310">
        <v>1130</v>
      </c>
      <c r="I1310" t="str">
        <v>וודא שאין קצף ופזר אופטגל ללא גושים- דספרסיה 10 דקות</v>
      </c>
      <c r="J1310" s="3" t="str">
        <v>10 דקות</v>
      </c>
      <c r="K1310" t="str">
        <v>Optigel WX</v>
      </c>
      <c r="L1310" s="1">
        <v>0.005</v>
      </c>
      <c r="M1310" s="2">
        <f>(M1322*L1310)</f>
        <v>5</v>
      </c>
      <c r="N1310">
        <v>1130</v>
      </c>
    </row>
    <row r="1311">
      <c r="C1311" t="str">
        <v>AGITAN 80</v>
      </c>
      <c r="D1311" s="1">
        <v>0.0005</v>
      </c>
      <c r="E1311" s="2">
        <f>(E1322*D1311)</f>
        <v>0.5</v>
      </c>
      <c r="K1311" t="str">
        <v>AGITAN 80</v>
      </c>
      <c r="L1311" s="1">
        <v>0.0005</v>
      </c>
      <c r="M1311" s="2">
        <f>(M1322*L1311)</f>
        <v>0.5</v>
      </c>
    </row>
    <row r="1312">
      <c r="A1312" t="str">
        <v>הכנס ללא גושים ובסיום דספרסיה 5 דקות  בF 13</v>
      </c>
      <c r="B1312" s="3" t="str">
        <v>5דקות</v>
      </c>
      <c r="C1312" t="str">
        <v>TIONA 826</v>
      </c>
      <c r="D1312" s="1">
        <v>0.116</v>
      </c>
      <c r="E1312" s="2">
        <f>(E1322*D1312)</f>
        <v>116</v>
      </c>
      <c r="F1312">
        <v>800</v>
      </c>
      <c r="I1312" t="str">
        <v>הכנס ללא גושים ובסיום דספרסיה 5 דקות  בF 13</v>
      </c>
      <c r="J1312" s="3" t="str">
        <v>5דקות</v>
      </c>
      <c r="K1312" t="str">
        <v>TIONA 826</v>
      </c>
      <c r="L1312" s="1">
        <v>0.116</v>
      </c>
      <c r="M1312" s="2">
        <f>(M1322*L1312)</f>
        <v>116</v>
      </c>
      <c r="N1312">
        <v>800</v>
      </c>
    </row>
    <row r="1313">
      <c r="A1313" t="str">
        <v>הכנס ללא גושים ובסיום דספרסיה 5 דקות  בF 15</v>
      </c>
      <c r="B1313" s="3" t="str">
        <v>5דקות</v>
      </c>
      <c r="C1313" t="str">
        <v xml:space="preserve"> CHARMOR PM 40</v>
      </c>
      <c r="D1313" s="1">
        <v>0.0964</v>
      </c>
      <c r="E1313" s="2">
        <f>(E1322*D1313)</f>
        <v>96.4</v>
      </c>
      <c r="F1313">
        <v>900</v>
      </c>
      <c r="I1313" t="str">
        <v>הכנס ללא גושים ובסיום דספרסיה 5 דקות  בF 15</v>
      </c>
      <c r="J1313" s="3" t="str">
        <v>5דקות</v>
      </c>
      <c r="K1313" t="str">
        <v xml:space="preserve"> CHARMOR PM 40</v>
      </c>
      <c r="L1313" s="1">
        <v>0.0964</v>
      </c>
      <c r="M1313" s="2">
        <f>(M1322*L1313)</f>
        <v>96.4</v>
      </c>
      <c r="N1313">
        <v>900</v>
      </c>
    </row>
    <row r="1314">
      <c r="A1314" t="str">
        <v>הכנס ללא גושים ובסיום דספרסיה 5 דקות  בF 1 מנה י PP-1624</v>
      </c>
      <c r="B1314" s="3" t="str">
        <v>5דקות</v>
      </c>
      <c r="C1314" t="str">
        <v>MELAFINE</v>
      </c>
      <c r="D1314" s="1">
        <v>0.0964</v>
      </c>
      <c r="E1314" s="2">
        <f>(E1322*D1314)</f>
        <v>96.4</v>
      </c>
      <c r="F1314">
        <v>1130</v>
      </c>
      <c r="I1314" t="str">
        <v>הכנס ללא גושים ובסיום דספרסיה 5 דקות  בF 1 מנה י PP-1624</v>
      </c>
      <c r="J1314" s="3" t="str">
        <v>5דקות</v>
      </c>
      <c r="K1314" t="str">
        <v>MELAFINE</v>
      </c>
      <c r="L1314" s="1">
        <v>0.0964</v>
      </c>
      <c r="M1314" s="2">
        <f>(M1322*L1314)</f>
        <v>96.4</v>
      </c>
      <c r="N1314">
        <v>1130</v>
      </c>
    </row>
    <row r="1315">
      <c r="A1315" t="str">
        <v xml:space="preserve">הכנס בזרם דק עד להומוגניות  בF 15 </v>
      </c>
      <c r="C1315" s="3" t="str">
        <v>Texanol</v>
      </c>
      <c r="D1315" s="1">
        <v>0.005</v>
      </c>
      <c r="E1315" s="2">
        <f>(E1322*D1315)</f>
        <v>5</v>
      </c>
      <c r="F1315">
        <v>700</v>
      </c>
      <c r="I1315" t="str">
        <v xml:space="preserve">הכנס בזרם דק עד להומוגניות  בF 15 </v>
      </c>
      <c r="K1315" s="3" t="str">
        <v>Texanol</v>
      </c>
      <c r="L1315" s="1">
        <v>0.005</v>
      </c>
      <c r="M1315" s="2">
        <f>(M1322*L1315)</f>
        <v>5</v>
      </c>
      <c r="N1315">
        <v>700</v>
      </c>
    </row>
    <row r="1316" ht="27.600000000000005" customHeight="1">
      <c r="A1316" t="str">
        <v>הכנס ללא גושים  ב F18 עליה ל F21 ובסיום דספרסיה במשך 5 דקות . שים לב שלא יתחמם מידי</v>
      </c>
      <c r="B1316" s="3" t="str">
        <v>5דקות</v>
      </c>
      <c r="C1316" s="3" t="str">
        <v>FR CROS 487</v>
      </c>
      <c r="D1316" s="1">
        <v>0.243</v>
      </c>
      <c r="E1316" s="2">
        <f>(E1322*D1316)</f>
        <v>243</v>
      </c>
      <c r="F1316">
        <v>1130</v>
      </c>
      <c r="I1316" t="str">
        <v>הכנס ללא גושים  ב F18 עליה ל F21 ובסיום דספרסיה במשך 5 דקות . שים לב שלא יתחמם מידי</v>
      </c>
      <c r="J1316" s="3" t="str">
        <v>5דקות</v>
      </c>
      <c r="K1316" s="3" t="str">
        <v>FR CROS 487</v>
      </c>
      <c r="L1316" s="1">
        <v>0.243</v>
      </c>
      <c r="M1316" s="2">
        <f>(M1322*L1316)</f>
        <v>243</v>
      </c>
      <c r="N1316">
        <v>1130</v>
      </c>
    </row>
    <row r="1317">
      <c r="A1317" t="str">
        <v xml:space="preserve">הכנס בזרם דק עד להומוגניות </v>
      </c>
      <c r="C1317" s="3" t="str">
        <v>VINNAPAS EZ 3019</v>
      </c>
      <c r="D1317" s="6">
        <v>0.085</v>
      </c>
      <c r="E1317" s="2">
        <f>(E1322*D1317)</f>
        <v>85</v>
      </c>
      <c r="F1317">
        <v>900</v>
      </c>
      <c r="I1317" t="str">
        <v xml:space="preserve">הכנס בזרם דק עד להומוגניות </v>
      </c>
      <c r="K1317" s="3" t="str">
        <v>VINNAPAS EZ 3019</v>
      </c>
      <c r="L1317" s="6">
        <v>0.085</v>
      </c>
      <c r="M1317" s="2">
        <f>(M1322*L1317)</f>
        <v>85</v>
      </c>
      <c r="N1317">
        <v>900</v>
      </c>
    </row>
    <row r="1318">
      <c r="A1318" t="str">
        <v>להכניס לאט ובהדרגה  לפוזור מלא ב12 F</v>
      </c>
      <c r="B1318" s="3" t="str">
        <v>3דקות</v>
      </c>
      <c r="C1318" s="3" t="str">
        <v>Lapinus CF 10</v>
      </c>
      <c r="D1318" s="1">
        <v>0.03</v>
      </c>
      <c r="E1318" s="2">
        <f>(E1322*D1318)</f>
        <v>30</v>
      </c>
      <c r="F1318">
        <v>1100</v>
      </c>
      <c r="I1318" t="str">
        <v>להכניס לאט ובהדרגה  לפוזור מלא ב12 F</v>
      </c>
      <c r="J1318" s="3" t="str">
        <v>3דקות</v>
      </c>
      <c r="K1318" s="3" t="str">
        <v>Lapinus CF 10</v>
      </c>
      <c r="L1318" s="1">
        <v>0.03</v>
      </c>
      <c r="M1318" s="2">
        <f>(M1322*L1318)</f>
        <v>30</v>
      </c>
      <c r="N1318">
        <v>1100</v>
      </c>
    </row>
    <row r="1319">
      <c r="A1319" t="str">
        <v>הכנס בזרם דק עד להומוגניות  בF 12  לאחר מכן הכנס אגיטן ובסיום המשך 7 דקות ערבול</v>
      </c>
      <c r="C1319" s="3" t="str">
        <v>VINNAPAS EZ 3019</v>
      </c>
      <c r="D1319" s="1">
        <v>0.1545</v>
      </c>
      <c r="E1319" s="2">
        <f>(E1322*D1319)</f>
        <v>154.5</v>
      </c>
      <c r="F1319">
        <v>700</v>
      </c>
      <c r="I1319" t="str">
        <v>הכנס בזרם דק עד להומוגניות  בF 12  לאחר מכן הכנס אגיטן ובסיום המשך 7 דקות ערבול</v>
      </c>
      <c r="K1319" s="3" t="str">
        <v>VINNAPAS EZ 3019</v>
      </c>
      <c r="L1319" s="1">
        <v>0.1545</v>
      </c>
      <c r="M1319" s="2">
        <f>(M1322*L1319)</f>
        <v>154.5</v>
      </c>
      <c r="N1319">
        <v>700</v>
      </c>
    </row>
    <row r="1320">
      <c r="B1320" s="3" t="str">
        <v>3דקות</v>
      </c>
      <c r="C1320" s="3" t="str">
        <v>Viscotex 730</v>
      </c>
      <c r="D1320" s="1">
        <v>0.0014</v>
      </c>
      <c r="E1320" s="2">
        <f>(E1322*D1320)</f>
        <v>1.4</v>
      </c>
      <c r="F1320">
        <v>700</v>
      </c>
      <c r="J1320" s="3" t="str">
        <v>3דקות</v>
      </c>
      <c r="K1320" s="3" t="str">
        <v>RHEOLATE 185</v>
      </c>
      <c r="L1320" s="1">
        <v>0.0014</v>
      </c>
      <c r="M1320" s="2">
        <f>(M1322*L1320)</f>
        <v>1.4</v>
      </c>
      <c r="N1320">
        <v>700</v>
      </c>
    </row>
    <row r="1321">
      <c r="B1321" s="3" t="str">
        <v>3דקות</v>
      </c>
      <c r="C1321" s="3" t="str">
        <v>AGITAN 80</v>
      </c>
      <c r="D1321" s="1">
        <v>0.0015</v>
      </c>
      <c r="E1321" s="2">
        <f>(E1322*D1321)</f>
        <v>1.5</v>
      </c>
      <c r="J1321" s="3" t="str">
        <v>3דקות</v>
      </c>
      <c r="K1321" s="3" t="str">
        <v>AGITAN 80</v>
      </c>
      <c r="L1321" s="1">
        <v>0.0015</v>
      </c>
      <c r="M1321" s="2">
        <f>(M1322*L1321)</f>
        <v>1.5</v>
      </c>
    </row>
    <row r="1322">
      <c r="D1322" s="1">
        <f>SUM(D1303:D1321)</f>
        <v>0.9999999999999999</v>
      </c>
      <c r="E1322" s="2">
        <v>1000</v>
      </c>
      <c r="L1322" s="1">
        <f>SUM(L1303:L1321)</f>
        <v>0.9999999999999999</v>
      </c>
      <c r="M1322" s="2">
        <v>1000</v>
      </c>
    </row>
    <row r="1323">
      <c r="C1323" s="7">
        <f>SUM(D1308+D1310+D1312+D1313+D1314+D1316+D1317*0.5+D1318+D1319*0.5)</f>
        <v>0.7080500000000001</v>
      </c>
      <c r="E1323" s="2">
        <f>SUM(E1303:E1321)</f>
        <v>1000</v>
      </c>
      <c r="K1323" s="7">
        <f>SUM(L1308+L1310+L1312+L1313+L1314+L1316+L1317*0.5+L1318+L1319*0.5)</f>
        <v>0.7080500000000001</v>
      </c>
      <c r="M1323" s="2">
        <f>SUM(M1303:M1321)</f>
        <v>1000</v>
      </c>
    </row>
    <row r="1324"/>
    <row r="1327">
      <c r="I1327" t="str">
        <v xml:space="preserve">     27.06.2024-095   Fresco INTUMESCENT</v>
      </c>
    </row>
    <row r="1328">
      <c r="A1328" t="str">
        <v xml:space="preserve">     04.06.2024-094   Fresco INTUMESCENT</v>
      </c>
      <c r="I1328" t="str">
        <v xml:space="preserve">   על בסיס   057 087   Levasil CC401 2.% , 23.95 %VINNAPAS EZ 3019 , טקסנול,Optigel WX  מוצקים ל 70.5% למינעת סדיקה</v>
      </c>
    </row>
    <row r="1329">
      <c r="A1329" t="str">
        <v xml:space="preserve">   על בסיס   075 092   Levasil CC401 3.% , 24.2 %VINNAPAS EZ 3019 , טקסנול,Optigel WX,  CF10-4% מוצקים ל 70.5% למינעת סדיקה</v>
      </c>
      <c r="I1329" t="str">
        <v>הוראות יצור</v>
      </c>
      <c r="J1329" t="str">
        <v>שעה - הערות</v>
      </c>
      <c r="L1329" t="str">
        <v>חומר</v>
      </c>
      <c r="M1329" t="str">
        <v>כמות ק''ג</v>
      </c>
      <c r="N1329" t="str">
        <v>מהירות</v>
      </c>
    </row>
    <row r="1330">
      <c r="A1330" t="str">
        <v>הוראות יצור</v>
      </c>
      <c r="B1330" t="str">
        <v>שעה - הערות</v>
      </c>
      <c r="D1330" t="str">
        <v>חומר</v>
      </c>
      <c r="E1330" t="str">
        <v>כמות ק''ג</v>
      </c>
      <c r="F1330" t="str">
        <v>מהירות</v>
      </c>
      <c r="I1330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330" t="str">
        <v>water</v>
      </c>
      <c r="L1330" s="1">
        <v>0.1396</v>
      </c>
      <c r="M1330" s="2">
        <f>(M1348*L1330)</f>
        <v>209.4</v>
      </c>
      <c r="N1330">
        <v>500</v>
      </c>
    </row>
    <row r="1331">
      <c r="A1331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331" t="str">
        <v>water</v>
      </c>
      <c r="D1331" s="1">
        <v>0.14</v>
      </c>
      <c r="E1331" s="2">
        <f>(E1349*D1331)</f>
        <v>140</v>
      </c>
      <c r="F1331">
        <v>500</v>
      </c>
      <c r="K1331" t="str">
        <v>Vinkocide CMIF</v>
      </c>
      <c r="L1331" s="1">
        <v>0.002</v>
      </c>
      <c r="M1331" s="2">
        <f>(M1348*L1331)</f>
        <v>3</v>
      </c>
    </row>
    <row r="1332">
      <c r="C1332" t="str">
        <v>Vinkocide CMIF</v>
      </c>
      <c r="D1332" s="1">
        <v>0.002</v>
      </c>
      <c r="E1332" s="2">
        <f>(E1349*D1332)</f>
        <v>2</v>
      </c>
      <c r="J1332" t="str">
        <v>1דקה</v>
      </c>
      <c r="K1332" t="str">
        <v>Levasil CC401</v>
      </c>
      <c r="L1332" s="1">
        <v>0.02</v>
      </c>
      <c r="M1332" s="2">
        <f>(M1348*L1332)</f>
        <v>30</v>
      </c>
    </row>
    <row r="1333">
      <c r="B1333" t="str">
        <v>1דקה</v>
      </c>
      <c r="C1333" t="str">
        <v>Levasil CC401</v>
      </c>
      <c r="D1333" s="1">
        <v>0.02</v>
      </c>
      <c r="E1333" s="2">
        <f>(E1349*D1333)</f>
        <v>20</v>
      </c>
      <c r="J1333" t="str">
        <v>3דקות</v>
      </c>
      <c r="K1333" t="str">
        <v>OROTAN 731</v>
      </c>
      <c r="L1333" s="1">
        <v>0.002</v>
      </c>
      <c r="M1333" s="2">
        <f>(M1348*L1333)</f>
        <v>3</v>
      </c>
    </row>
    <row r="1334">
      <c r="C1334" t="str">
        <v>OROTAN 731</v>
      </c>
      <c r="D1334" s="1">
        <v>0.002</v>
      </c>
      <c r="E1334" s="2">
        <f>(E1349*D1334)</f>
        <v>2</v>
      </c>
      <c r="J1334" t="str">
        <v>1דקה</v>
      </c>
      <c r="K1334" t="str">
        <v>AGITAN 80</v>
      </c>
      <c r="L1334" s="1">
        <v>0.0005</v>
      </c>
      <c r="M1334" s="2">
        <f>(M1348*L1334)</f>
        <v>0.75</v>
      </c>
      <c r="N1334">
        <v>600</v>
      </c>
    </row>
    <row r="1335">
      <c r="B1335" t="str">
        <v>3דקה</v>
      </c>
      <c r="C1335" t="str">
        <v>AGITAN 80</v>
      </c>
      <c r="D1335" s="1">
        <v>0.0005</v>
      </c>
      <c r="E1335" s="2">
        <f>(E1349*D1335)</f>
        <v>0.5</v>
      </c>
      <c r="F1335">
        <v>600</v>
      </c>
      <c r="J1335" s="3" t="str">
        <v>3דקות</v>
      </c>
      <c r="K1335" t="str">
        <v>COMBIZELL</v>
      </c>
      <c r="L1335" s="1">
        <v>0.0026</v>
      </c>
      <c r="M1335" s="2">
        <f>(M1348*L1335)</f>
        <v>3.9</v>
      </c>
      <c r="N1335">
        <v>800</v>
      </c>
    </row>
    <row r="1336">
      <c r="B1336" s="3" t="str">
        <v>3דקות</v>
      </c>
      <c r="C1336" t="str">
        <v>COMBIZELL</v>
      </c>
      <c r="D1336" s="1">
        <v>0.0015</v>
      </c>
      <c r="E1336" s="2">
        <f>(E1349*D1336)</f>
        <v>1.5</v>
      </c>
      <c r="F1336">
        <v>800</v>
      </c>
      <c r="K1336" t="str">
        <v>AGITAN 80</v>
      </c>
      <c r="L1336" s="1">
        <v>0.0005</v>
      </c>
      <c r="M1336" s="2">
        <f>(M1348*L1336)</f>
        <v>0.75</v>
      </c>
    </row>
    <row r="1337" ht="27.600000000000005" customHeight="1">
      <c r="C1337" t="str">
        <v>AGITAN 80</v>
      </c>
      <c r="D1337" s="1">
        <v>0.0005</v>
      </c>
      <c r="E1337" s="2">
        <f>(E1349*D1337)</f>
        <v>0.5</v>
      </c>
      <c r="I1337" t="str">
        <v>וודא שאין קצף ופזר אופטגל ללא גושים- דספרסיה 10 דקות</v>
      </c>
      <c r="J1337" s="3" t="str">
        <v>10 דקות</v>
      </c>
      <c r="K1337" t="str">
        <v>Optigel WX</v>
      </c>
      <c r="L1337" s="1">
        <v>0.0045</v>
      </c>
      <c r="M1337" s="2">
        <f>(M1348*L1337)</f>
        <v>6.749999999999999</v>
      </c>
      <c r="N1337">
        <v>1130</v>
      </c>
    </row>
    <row r="1338">
      <c r="A1338" t="str">
        <v>וודא שאין קצף ופזר אופטגל ללא גושים- דספרסיה 10 דקות</v>
      </c>
      <c r="B1338" s="3" t="str">
        <v>10 דקות</v>
      </c>
      <c r="C1338" t="str">
        <v>Optigel WX</v>
      </c>
      <c r="D1338" s="1">
        <v>0.005</v>
      </c>
      <c r="E1338" s="2">
        <f>(E1349*D1338)</f>
        <v>5</v>
      </c>
      <c r="F1338">
        <v>1130</v>
      </c>
      <c r="K1338" t="str">
        <v>AGITAN 80</v>
      </c>
      <c r="L1338" s="1">
        <v>0.0005</v>
      </c>
      <c r="M1338" s="2">
        <f>(M1348*L1338)</f>
        <v>0.75</v>
      </c>
    </row>
    <row r="1339">
      <c r="C1339" t="str">
        <v>AGITAN 80</v>
      </c>
      <c r="D1339" s="1">
        <v>0.0005</v>
      </c>
      <c r="E1339" s="2">
        <f>(E1349*D1339)</f>
        <v>0.5</v>
      </c>
      <c r="I1339" t="str">
        <v>הכנס ללא גושים ובסיום דספרסיה 5 דקות  בF 13</v>
      </c>
      <c r="J1339" s="3" t="str">
        <v>5דקות</v>
      </c>
      <c r="K1339" t="str">
        <v>TIONA 826</v>
      </c>
      <c r="L1339" s="1">
        <v>0.116</v>
      </c>
      <c r="M1339" s="2">
        <f>(M1348*L1339)</f>
        <v>174</v>
      </c>
      <c r="N1339">
        <v>800</v>
      </c>
    </row>
    <row r="1340">
      <c r="A1340" t="str">
        <v>הכנס ללא גושים ובסיום דספרסיה 5 דקות  בF 13</v>
      </c>
      <c r="B1340" s="3" t="str">
        <v>5דקות</v>
      </c>
      <c r="C1340" t="str">
        <v>TIONA 826</v>
      </c>
      <c r="D1340" s="1">
        <v>0.116</v>
      </c>
      <c r="E1340" s="2">
        <f>(E1349*D1340)</f>
        <v>116</v>
      </c>
      <c r="F1340">
        <v>800</v>
      </c>
      <c r="I1340" t="str">
        <v>הכנס ללא גושים ובסיום דספרסיה 5 דקות  בF 15</v>
      </c>
      <c r="J1340" s="3" t="str">
        <v>5דקות</v>
      </c>
      <c r="K1340" t="str">
        <v xml:space="preserve"> CHARMOR PM 40</v>
      </c>
      <c r="L1340" s="1">
        <v>0.0964</v>
      </c>
      <c r="M1340" s="2">
        <f>(M1348*L1340)</f>
        <v>144.6</v>
      </c>
      <c r="N1340">
        <v>900</v>
      </c>
    </row>
    <row r="1341">
      <c r="A1341" t="str">
        <v>הכנס ללא גושים ובסיום דספרסיה 5 דקות  בF 15</v>
      </c>
      <c r="B1341" s="3" t="str">
        <v>5דקות</v>
      </c>
      <c r="C1341" t="str">
        <v xml:space="preserve"> CHARMOR PM 40</v>
      </c>
      <c r="D1341" s="1">
        <v>0.0915</v>
      </c>
      <c r="E1341" s="2">
        <f>(E1349*D1341)</f>
        <v>91.5</v>
      </c>
      <c r="F1341">
        <v>900</v>
      </c>
      <c r="I1341" t="str">
        <v>הכנס ללא גושים ובסיום דספרסיה 5 דקות  בF 1 מנה י PP-1624</v>
      </c>
      <c r="J1341" s="3" t="str">
        <v>5דקות</v>
      </c>
      <c r="K1341" t="str">
        <v>MELAFINE</v>
      </c>
      <c r="L1341" s="1">
        <v>0.0964</v>
      </c>
      <c r="M1341" s="2">
        <f>(M1348*L1341)</f>
        <v>144.6</v>
      </c>
      <c r="N1341">
        <v>1130</v>
      </c>
    </row>
    <row r="1342">
      <c r="A1342" t="str">
        <v>הכנס ללא גושים ובסיום דספרסיה 5 דקות  בF 1 מנה י PP-1624</v>
      </c>
      <c r="B1342" s="3" t="str">
        <v>5דקות</v>
      </c>
      <c r="C1342" t="str">
        <v>MELAFINE</v>
      </c>
      <c r="D1342" s="1">
        <v>0.0935</v>
      </c>
      <c r="E1342" s="2">
        <f>(E1349*D1342)</f>
        <v>93.5</v>
      </c>
      <c r="F1342">
        <v>1130</v>
      </c>
      <c r="I1342" t="str">
        <v xml:space="preserve">הכנס בזרם דק עד להומוגניות  בF 15 </v>
      </c>
      <c r="K1342" s="3" t="str">
        <v>Texanol</v>
      </c>
      <c r="L1342" s="1">
        <v>0.005</v>
      </c>
      <c r="M1342" s="2">
        <f>(M1348*L1342)</f>
        <v>7.5</v>
      </c>
      <c r="N1342">
        <v>700</v>
      </c>
    </row>
    <row r="1343" ht="27.600000000000005" customHeight="1">
      <c r="A1343" t="str">
        <v xml:space="preserve">הכנס בזרם דק עד להומוגניות  בF 15 </v>
      </c>
      <c r="C1343" s="3" t="str">
        <v>Texanol</v>
      </c>
      <c r="D1343" s="1">
        <v>0.005</v>
      </c>
      <c r="E1343" s="2">
        <f>(E1349*D1343)</f>
        <v>5</v>
      </c>
      <c r="F1343">
        <v>700</v>
      </c>
      <c r="I1343" t="str">
        <v>הכנס ללא גושים  ב F18 עליה ל F21 ובסיום דספרסיה במשך 5 דקות . שים לב שלא יתחמם מידי</v>
      </c>
      <c r="J1343" s="3" t="str">
        <v>5דקות</v>
      </c>
      <c r="K1343" s="3" t="str">
        <v>FR CROS 487</v>
      </c>
      <c r="L1343" s="1">
        <v>0.243</v>
      </c>
      <c r="M1343" s="2">
        <f>(M1348*L1343)</f>
        <v>364.5</v>
      </c>
      <c r="N1343">
        <v>1130</v>
      </c>
    </row>
    <row r="1344" ht="27.600000000000005" customHeight="1">
      <c r="A1344" t="str">
        <v>הכנס ללא גושים  ב F18 עליה ל F21 ובסיום דספרסיה במשך 5 דקות . שים לב שלא יתחמם מידי</v>
      </c>
      <c r="B1344" s="3" t="str">
        <v>5דקות</v>
      </c>
      <c r="C1344" s="3" t="str">
        <v>FR CROS 487</v>
      </c>
      <c r="D1344" s="1">
        <v>0.242</v>
      </c>
      <c r="E1344" s="2">
        <f>(E1349*D1344)</f>
        <v>242</v>
      </c>
      <c r="F1344">
        <v>1130</v>
      </c>
      <c r="I1344" t="str">
        <v xml:space="preserve">הכנס בזרם דק עד להומוגניות </v>
      </c>
      <c r="K1344" s="3" t="str">
        <v>VINNAPAS EZ 3019</v>
      </c>
      <c r="L1344" s="6">
        <v>0.085</v>
      </c>
      <c r="M1344" s="2">
        <f>(M1348*L1344)</f>
        <v>127.50000000000001</v>
      </c>
      <c r="N1344">
        <v>900</v>
      </c>
    </row>
    <row r="1345">
      <c r="A1345" t="str">
        <v xml:space="preserve">הכנס בזרם דק עד להומוגניות </v>
      </c>
      <c r="C1345" s="3" t="str">
        <v>VINNAPAS EZ 3019</v>
      </c>
      <c r="D1345" s="6">
        <v>0.085</v>
      </c>
      <c r="E1345" s="2">
        <f>(E1349*D1345)</f>
        <v>85</v>
      </c>
      <c r="F1345">
        <v>900</v>
      </c>
      <c r="I1345" t="str">
        <v>להכניס לאט ובהדרגה  לפוזור מלא ב12 F</v>
      </c>
      <c r="J1345" s="3" t="str">
        <v>3דקות</v>
      </c>
      <c r="K1345" s="3" t="str">
        <v>Lapinus CF 10</v>
      </c>
      <c r="L1345" s="1">
        <v>0.03</v>
      </c>
      <c r="M1345" s="2">
        <f>(M1348*L1345)</f>
        <v>45</v>
      </c>
      <c r="N1345">
        <v>1100</v>
      </c>
    </row>
    <row r="1346">
      <c r="A1346" t="str">
        <v>להכניס לאט ובהדרגה  לפוזור מלא ב12 F</v>
      </c>
      <c r="B1346" s="3" t="str">
        <v>3דקות</v>
      </c>
      <c r="C1346" s="3" t="str">
        <v>Lapinus CF 10</v>
      </c>
      <c r="D1346" s="1">
        <v>0.04</v>
      </c>
      <c r="E1346" s="2">
        <f>(E1349*D1346)</f>
        <v>40</v>
      </c>
      <c r="F1346">
        <v>1100</v>
      </c>
      <c r="I1346" t="str">
        <v>הכנס בזרם דק עד להומוגניות  בF 12  לאחר מכן הכנס אגיטן ובסיום המשך 7 דקות ערבול</v>
      </c>
      <c r="K1346" s="3" t="str">
        <v>VINNAPAS EZ 3019</v>
      </c>
      <c r="L1346" s="1">
        <v>0.1545</v>
      </c>
      <c r="M1346" s="2">
        <f>(M1348*L1346)</f>
        <v>231.75</v>
      </c>
      <c r="N1346">
        <v>700</v>
      </c>
    </row>
    <row r="1347">
      <c r="A1347" t="str">
        <v>הכנס בזרם דק עד להומוגניות  בF 12  לאחר מכן הכנס אגיטן ובסיום המשך 7 דקות ערבול</v>
      </c>
      <c r="C1347" s="3" t="str">
        <v>VINNAPAS EZ 3019</v>
      </c>
      <c r="D1347" s="1">
        <v>0.1535</v>
      </c>
      <c r="E1347" s="2">
        <f>(E1349*D1347)</f>
        <v>153.5</v>
      </c>
      <c r="F1347">
        <v>700</v>
      </c>
      <c r="J1347" s="3" t="str">
        <v>3דקות</v>
      </c>
      <c r="K1347" s="3" t="str">
        <v>AGITAN 80</v>
      </c>
      <c r="L1347" s="1">
        <v>0.0015</v>
      </c>
      <c r="M1347" s="2">
        <f>(M1348*L1347)</f>
        <v>2.25</v>
      </c>
    </row>
    <row r="1348">
      <c r="B1348" s="3" t="str">
        <v>3דקות</v>
      </c>
      <c r="C1348" s="3" t="str">
        <v>AGITAN 80</v>
      </c>
      <c r="D1348" s="1">
        <v>0.0015</v>
      </c>
      <c r="E1348" s="2">
        <f>(E1349*D1348)</f>
        <v>1.5</v>
      </c>
      <c r="L1348" s="1">
        <f>SUM(L1330:L1347)</f>
        <v>0.9999999999999999</v>
      </c>
      <c r="M1348" s="2">
        <v>1500</v>
      </c>
    </row>
    <row r="1349">
      <c r="D1349" s="1">
        <f>SUM(D1331:D1348)</f>
        <v>1</v>
      </c>
      <c r="E1349" s="2">
        <v>1000</v>
      </c>
      <c r="K1349" s="7">
        <f>SUM(L1335+L1337+L1339+L1340+L1341+L1343+L1344*0.5+L1345+L1346*0.5)</f>
        <v>0.70865</v>
      </c>
      <c r="M1349" s="2">
        <f>SUM(M1330:M1347)</f>
        <v>1500</v>
      </c>
    </row>
    <row r="1350">
      <c r="C1350" s="7">
        <f>SUM(D1336+D1338+D1340+D1341+D1342+D1344+D1345*0.5+D1346+D1347*0.5)</f>
        <v>0.70875</v>
      </c>
      <c r="E1350" s="2">
        <f>SUM(E1331:E1348)</f>
        <v>1000</v>
      </c>
    </row>
    <row r="1356">
      <c r="A1356" t="str">
        <v xml:space="preserve">      17.06.2024-096  Fresco INTUMESCENT</v>
      </c>
      <c r="I1356" t="str">
        <v xml:space="preserve">      18.06.2024-097  Fresco INTUMESCENT</v>
      </c>
    </row>
    <row r="1357">
      <c r="A1357" t="str">
        <v xml:space="preserve">   על בסיס   089 095   Levasil CC401 2.% , 22 %Emultex FR 797 , טקסנול,Optigel WX  מוצקים ל 70.5% למינעת סדיקה</v>
      </c>
      <c r="I1357" t="str">
        <v xml:space="preserve">   על בסיס   089 095   Levasil CC401 2.% , 22 %Encor 367 , טקסנול,Optigel WX  מוצקים ל 70.5% למינעת סדיקה</v>
      </c>
    </row>
    <row r="1358">
      <c r="A1358" t="str">
        <v>הוראות יצור</v>
      </c>
      <c r="B1358" t="str">
        <v>שעה - הערות</v>
      </c>
      <c r="D1358" t="str">
        <v>חומר</v>
      </c>
      <c r="E1358" t="str">
        <v>כמות ק''ג</v>
      </c>
      <c r="F1358" t="str">
        <v>מהירות</v>
      </c>
      <c r="I1358" t="str">
        <v>הוראות יצור</v>
      </c>
      <c r="J1358" t="str">
        <v>שעה - הערות</v>
      </c>
      <c r="L1358" t="str">
        <v>חומר</v>
      </c>
      <c r="M1358" t="str">
        <v>כמות ק''ג</v>
      </c>
      <c r="N1358" t="str">
        <v>מהירות</v>
      </c>
    </row>
    <row r="1359">
      <c r="A1359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359" t="str">
        <v>water</v>
      </c>
      <c r="D1359" s="1">
        <v>0.1541</v>
      </c>
      <c r="E1359" s="2">
        <f>(E1377*D1359)</f>
        <v>539.3499999999999</v>
      </c>
      <c r="F1359">
        <v>500</v>
      </c>
      <c r="I1359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359" t="str">
        <v>water</v>
      </c>
      <c r="L1359" s="1">
        <v>0.1541</v>
      </c>
      <c r="M1359" s="2">
        <f>(M1377*L1359)</f>
        <v>539.3499999999999</v>
      </c>
      <c r="N1359">
        <v>500</v>
      </c>
    </row>
    <row r="1360">
      <c r="C1360" t="str">
        <v>Vinkocide CMIF</v>
      </c>
      <c r="D1360" s="1">
        <v>0.002</v>
      </c>
      <c r="E1360" s="2">
        <f>(E1377*D1360)</f>
        <v>7</v>
      </c>
      <c r="K1360" t="str">
        <v>Vinkocide CMIF</v>
      </c>
      <c r="L1360" s="1">
        <v>0.002</v>
      </c>
      <c r="M1360" s="2">
        <f>(M1377*L1360)</f>
        <v>7</v>
      </c>
    </row>
    <row r="1361">
      <c r="B1361" t="str">
        <v>1דקה</v>
      </c>
      <c r="C1361" t="str">
        <v>Levasil CC401</v>
      </c>
      <c r="D1361" s="1">
        <v>0.02</v>
      </c>
      <c r="E1361" s="2">
        <f>(E1377*D1361)</f>
        <v>70</v>
      </c>
      <c r="J1361" t="str">
        <v>1דקה</v>
      </c>
      <c r="K1361" t="str">
        <v>Levasil CC401</v>
      </c>
      <c r="L1361" s="1">
        <v>0.02</v>
      </c>
      <c r="M1361" s="2">
        <f>(M1377*L1361)</f>
        <v>70</v>
      </c>
    </row>
    <row r="1362">
      <c r="B1362" t="str">
        <v>3דקות</v>
      </c>
      <c r="C1362" t="str">
        <v>OROTAN 731</v>
      </c>
      <c r="D1362" s="1">
        <v>0.002</v>
      </c>
      <c r="E1362" s="2">
        <f>(E1377*D1362)</f>
        <v>7</v>
      </c>
      <c r="J1362" t="str">
        <v>3דקות</v>
      </c>
      <c r="K1362" t="str">
        <v>OROTAN 731</v>
      </c>
      <c r="L1362" s="1">
        <v>0.002</v>
      </c>
      <c r="M1362" s="2">
        <f>(M1377*L1362)</f>
        <v>7</v>
      </c>
    </row>
    <row r="1363">
      <c r="B1363" t="str">
        <v>1דקה</v>
      </c>
      <c r="C1363" t="str">
        <v>AGITAN 80</v>
      </c>
      <c r="D1363" s="1">
        <v>0.0005</v>
      </c>
      <c r="E1363" s="2">
        <f>(E1377*D1363)</f>
        <v>1.75</v>
      </c>
      <c r="F1363">
        <v>600</v>
      </c>
      <c r="J1363" t="str">
        <v>1דקה</v>
      </c>
      <c r="K1363" t="str">
        <v>AGITAN 80</v>
      </c>
      <c r="L1363" s="1">
        <v>0.0005</v>
      </c>
      <c r="M1363" s="2">
        <f>(M1377*L1363)</f>
        <v>1.75</v>
      </c>
      <c r="N1363">
        <v>600</v>
      </c>
    </row>
    <row r="1364">
      <c r="B1364" s="3" t="str">
        <v>3דקות</v>
      </c>
      <c r="C1364" t="str">
        <v>COMBIZELL</v>
      </c>
      <c r="D1364" s="1">
        <v>0.0026</v>
      </c>
      <c r="E1364" s="2">
        <f>(E1377*D1364)</f>
        <v>9.1</v>
      </c>
      <c r="F1364">
        <v>800</v>
      </c>
      <c r="J1364" s="3" t="str">
        <v>3דקות</v>
      </c>
      <c r="K1364" t="str">
        <v>COMBIZELL</v>
      </c>
      <c r="L1364" s="1">
        <v>0.0026</v>
      </c>
      <c r="M1364" s="2">
        <f>(M1377*L1364)</f>
        <v>9.1</v>
      </c>
      <c r="N1364">
        <v>800</v>
      </c>
    </row>
    <row r="1365">
      <c r="C1365" t="str">
        <v>AGITAN 80</v>
      </c>
      <c r="D1365" s="1">
        <v>0.0005</v>
      </c>
      <c r="E1365" s="2">
        <f>(E1377*D1365)</f>
        <v>1.75</v>
      </c>
      <c r="K1365" t="str">
        <v>AGITAN 80</v>
      </c>
      <c r="L1365" s="1">
        <v>0.0005</v>
      </c>
      <c r="M1365" s="2">
        <f>(M1377*L1365)</f>
        <v>1.75</v>
      </c>
    </row>
    <row r="1366" ht="27.600000000000005" customHeight="1">
      <c r="A1366" t="str">
        <v>וודא שאין קצף ופזר אופטגל ללא גושים- דספרסיה 10 דקות</v>
      </c>
      <c r="B1366" s="3" t="str">
        <v>10 דקות</v>
      </c>
      <c r="C1366" t="str">
        <v>Optigel WX</v>
      </c>
      <c r="D1366" s="1">
        <v>0.0045</v>
      </c>
      <c r="E1366" s="2">
        <f>(E1377*D1366)</f>
        <v>15.749999999999998</v>
      </c>
      <c r="F1366">
        <v>1130</v>
      </c>
      <c r="I1366" t="str">
        <v>וודא שאין קצף ופזר אופטגל ללא גושים- דספרסיה 10 דקות</v>
      </c>
      <c r="J1366" s="3" t="str">
        <v>10 דקות</v>
      </c>
      <c r="K1366" t="str">
        <v>Optigel WX</v>
      </c>
      <c r="L1366" s="1">
        <v>0.0045</v>
      </c>
      <c r="M1366" s="2">
        <f>(M1377*L1366)</f>
        <v>15.749999999999998</v>
      </c>
      <c r="N1366">
        <v>1130</v>
      </c>
    </row>
    <row r="1367">
      <c r="C1367" t="str">
        <v>AGITAN 80</v>
      </c>
      <c r="D1367" s="1">
        <v>0.0005</v>
      </c>
      <c r="E1367" s="2">
        <f>(E1377*D1367)</f>
        <v>1.75</v>
      </c>
      <c r="K1367" t="str">
        <v>AGITAN 80</v>
      </c>
      <c r="L1367" s="1">
        <v>0.0005</v>
      </c>
      <c r="M1367" s="2">
        <f>(M1377*L1367)</f>
        <v>1.75</v>
      </c>
    </row>
    <row r="1368">
      <c r="A1368" t="str">
        <v>הכנס ללא גושים ובסיום דספרסיה 5 דקות  בF 13</v>
      </c>
      <c r="B1368" s="3" t="str">
        <v>5דקות</v>
      </c>
      <c r="C1368" t="str">
        <v>TIONA 826</v>
      </c>
      <c r="D1368" s="1">
        <v>0.116</v>
      </c>
      <c r="E1368" s="2">
        <f>(E1377*D1368)</f>
        <v>406</v>
      </c>
      <c r="F1368">
        <v>800</v>
      </c>
      <c r="I1368" t="str">
        <v>הכנס ללא גושים ובסיום דספרסיה 5 דקות  בF 13</v>
      </c>
      <c r="J1368" s="3" t="str">
        <v>5דקות</v>
      </c>
      <c r="K1368" t="str">
        <v>TIONA 826</v>
      </c>
      <c r="L1368" s="1">
        <v>0.116</v>
      </c>
      <c r="M1368" s="2">
        <f>(M1377*L1368)</f>
        <v>406</v>
      </c>
      <c r="N1368">
        <v>800</v>
      </c>
    </row>
    <row r="1369">
      <c r="A1369" t="str">
        <v>הכנס ללא גושים ובסיום דספרסיה 5 דקות  בF 15</v>
      </c>
      <c r="B1369" s="3" t="str">
        <v>5דקות</v>
      </c>
      <c r="C1369" t="str">
        <v xml:space="preserve"> CHARMOR PM 40</v>
      </c>
      <c r="D1369" s="1">
        <v>0.0964</v>
      </c>
      <c r="E1369" s="2">
        <f>(E1377*D1369)</f>
        <v>337.4</v>
      </c>
      <c r="F1369">
        <v>900</v>
      </c>
      <c r="I1369" t="str">
        <v>הכנס ללא גושים ובסיום דספרסיה 5 דקות  בF 15</v>
      </c>
      <c r="J1369" s="3" t="str">
        <v>5דקות</v>
      </c>
      <c r="K1369" t="str">
        <v xml:space="preserve"> CHARMOR PM 40</v>
      </c>
      <c r="L1369" s="1">
        <v>0.0964</v>
      </c>
      <c r="M1369" s="2">
        <f>(M1377*L1369)</f>
        <v>337.4</v>
      </c>
      <c r="N1369">
        <v>900</v>
      </c>
    </row>
    <row r="1370">
      <c r="A1370" t="str">
        <v>הכנס ללא גושים ובסיום דספרסיה 5 דקות  בF 1 מנה י PP-1624</v>
      </c>
      <c r="B1370" s="3" t="str">
        <v>5דקות</v>
      </c>
      <c r="C1370" t="str">
        <v>MELAFINE</v>
      </c>
      <c r="D1370" s="1">
        <v>0.0964</v>
      </c>
      <c r="E1370" s="2">
        <f>(E1377*D1370)</f>
        <v>337.4</v>
      </c>
      <c r="F1370">
        <v>1130</v>
      </c>
      <c r="I1370" t="str">
        <v>הכנס ללא גושים ובסיום דספרסיה 5 דקות  בF 1 מנה י PP-1624</v>
      </c>
      <c r="J1370" s="3" t="str">
        <v>5דקות</v>
      </c>
      <c r="K1370" t="str">
        <v>MELAFINE</v>
      </c>
      <c r="L1370" s="1">
        <v>0.0964</v>
      </c>
      <c r="M1370" s="2">
        <f>(M1377*L1370)</f>
        <v>337.4</v>
      </c>
      <c r="N1370">
        <v>1130</v>
      </c>
    </row>
    <row r="1371">
      <c r="A1371" t="str">
        <v xml:space="preserve">הכנס בזרם דק עד להומוגניות  בF 15 </v>
      </c>
      <c r="C1371" s="3" t="str">
        <v>Texanol</v>
      </c>
      <c r="D1371" s="1">
        <v>0.01</v>
      </c>
      <c r="E1371" s="2">
        <f>(E1377*D1371)</f>
        <v>35</v>
      </c>
      <c r="F1371">
        <v>700</v>
      </c>
      <c r="I1371" t="str">
        <v xml:space="preserve">הכנס בזרם דק עד להומוגניות  בF 15 </v>
      </c>
      <c r="K1371" s="3" t="str">
        <v>Texanol</v>
      </c>
      <c r="L1371" s="1">
        <v>0.01</v>
      </c>
      <c r="M1371" s="2">
        <f>(M1377*L1371)</f>
        <v>35</v>
      </c>
      <c r="N1371">
        <v>700</v>
      </c>
    </row>
    <row r="1372" ht="27.600000000000005" customHeight="1">
      <c r="A1372" t="str">
        <v>הכנס ללא גושים  ב F18 עליה ל F21 ובסיום דספרסיה במשך 5 דקות . שים לב שלא יתחמם מידי</v>
      </c>
      <c r="B1372" s="3" t="str">
        <v>5דקות</v>
      </c>
      <c r="C1372" s="3" t="str">
        <v>FR CROS 487</v>
      </c>
      <c r="D1372" s="1">
        <v>0.243</v>
      </c>
      <c r="E1372" s="2">
        <f>(E1377*D1372)</f>
        <v>850.5</v>
      </c>
      <c r="F1372">
        <v>1130</v>
      </c>
      <c r="I1372" t="str">
        <v>הכנס ללא גושים  ב F18 עליה ל F21 ובסיום דספרסיה במשך 5 דקות . שים לב שלא יתחמם מידי</v>
      </c>
      <c r="J1372" s="3" t="str">
        <v>5דקות</v>
      </c>
      <c r="K1372" s="3" t="str">
        <v>FR CROS 487</v>
      </c>
      <c r="L1372" s="1">
        <v>0.243</v>
      </c>
      <c r="M1372" s="2">
        <f>(M1377*L1372)</f>
        <v>850.5</v>
      </c>
      <c r="N1372">
        <v>1130</v>
      </c>
    </row>
    <row r="1373">
      <c r="A1373" t="str">
        <v xml:space="preserve">הכנס בזרם דק עד להומוגניות </v>
      </c>
      <c r="C1373" s="3" t="str">
        <v>Emultex FR 797</v>
      </c>
      <c r="D1373" s="6">
        <v>0.085</v>
      </c>
      <c r="E1373" s="2">
        <f>(E1377*D1373)</f>
        <v>297.5</v>
      </c>
      <c r="F1373">
        <v>900</v>
      </c>
      <c r="I1373" t="str">
        <v xml:space="preserve">הכנס בזרם דק עד להומוגניות </v>
      </c>
      <c r="K1373" s="3" t="str">
        <v>Encor 367</v>
      </c>
      <c r="L1373" s="6">
        <v>0.085</v>
      </c>
      <c r="M1373" s="2">
        <f>(M1377*L1373)</f>
        <v>297.5</v>
      </c>
      <c r="N1373">
        <v>900</v>
      </c>
    </row>
    <row r="1374">
      <c r="A1374" t="str">
        <v>להכניס לאט ובהדרגה  לפוזור מלא ב12 F</v>
      </c>
      <c r="B1374" s="3" t="str">
        <v>3דקות</v>
      </c>
      <c r="C1374" s="3" t="str">
        <v>Lapinus CF 10</v>
      </c>
      <c r="D1374" s="1">
        <v>0.03</v>
      </c>
      <c r="E1374" s="2">
        <f>(E1377*D1374)</f>
        <v>105</v>
      </c>
      <c r="F1374">
        <v>1100</v>
      </c>
      <c r="I1374" t="str">
        <v>להכניס לאט ובהדרגה  לפוזור מלא ב12 F</v>
      </c>
      <c r="J1374" s="3" t="str">
        <v>3דקות</v>
      </c>
      <c r="K1374" s="3" t="str">
        <v>Lapinus CF 10</v>
      </c>
      <c r="L1374" s="1">
        <v>0.03</v>
      </c>
      <c r="M1374" s="2">
        <f>(M1377*L1374)</f>
        <v>105</v>
      </c>
      <c r="N1374">
        <v>1100</v>
      </c>
    </row>
    <row r="1375">
      <c r="A1375" t="str">
        <v>הכנס בזרם דק עד להומוגניות  בF 12  לאחר מכן הכנס אגיטן ובסיום המשך 7 דקות ערבול</v>
      </c>
      <c r="C1375" s="3" t="str">
        <v>Emultex FR 797</v>
      </c>
      <c r="D1375" s="1">
        <v>0.135</v>
      </c>
      <c r="E1375" s="2">
        <f>(E1377*D1375)</f>
        <v>472.50000000000006</v>
      </c>
      <c r="F1375">
        <v>700</v>
      </c>
      <c r="I1375" t="str">
        <v>הכנס בזרם דק עד להומוגניות  בF 12  לאחר מכן הכנס אגיטן ובסיום המשך 7 דקות ערבול</v>
      </c>
      <c r="K1375" s="3" t="str">
        <v>Encor 367</v>
      </c>
      <c r="L1375" s="1">
        <v>0.135</v>
      </c>
      <c r="M1375" s="2">
        <f>(M1377*L1375)</f>
        <v>472.50000000000006</v>
      </c>
      <c r="N1375">
        <v>700</v>
      </c>
    </row>
    <row r="1376">
      <c r="B1376" s="3" t="str">
        <v>3דקות</v>
      </c>
      <c r="C1376" s="3" t="str">
        <v>AGITAN 80</v>
      </c>
      <c r="D1376" s="1">
        <v>0.0015</v>
      </c>
      <c r="E1376" s="2">
        <f>(E1377*D1376)</f>
        <v>5.25</v>
      </c>
      <c r="J1376" s="3" t="str">
        <v>3דקות</v>
      </c>
      <c r="K1376" s="3" t="str">
        <v>AGITAN 80</v>
      </c>
      <c r="L1376" s="1">
        <v>0.0015</v>
      </c>
      <c r="M1376" s="2">
        <f>(M1377*L1376)</f>
        <v>5.25</v>
      </c>
    </row>
    <row r="1377">
      <c r="D1377" s="1">
        <f>SUM(D1359:D1376)</f>
        <v>0.9999999999999999</v>
      </c>
      <c r="E1377" s="2">
        <v>3500</v>
      </c>
      <c r="L1377" s="1">
        <f>SUM(L1359:L1376)</f>
        <v>0.9999999999999999</v>
      </c>
      <c r="M1377" s="2">
        <v>3500</v>
      </c>
    </row>
    <row r="1378">
      <c r="C1378" s="7">
        <f>SUM(D1364+D1366+D1368+D1369+D1370+D1372+D1373*0.55+D1374+D1375*0.55)</f>
        <v>0.7099</v>
      </c>
      <c r="E1378" s="2">
        <f>SUM(E1359:E1376)</f>
        <v>3500</v>
      </c>
      <c r="K1378" s="7">
        <f>SUM(L1364+L1366+L1368+L1369+L1370+L1372+L1373*0.55+L1374+L1375*0.55)</f>
        <v>0.7099</v>
      </c>
      <c r="M1378" s="2">
        <f>SUM(M1359:M1376)</f>
        <v>3500</v>
      </c>
    </row>
    <row r="1384">
      <c r="A1384" t="str">
        <v xml:space="preserve">      18.06.2024-097  Fresco INTUMESCENT</v>
      </c>
      <c r="I1384" t="str">
        <v xml:space="preserve">      19.06.2024-098  Fresco INTUMESCENT</v>
      </c>
    </row>
    <row r="1385">
      <c r="A1385" t="str">
        <v xml:space="preserve">   על בסיס   089 095   Levasil CC401 2.% , 22 %Encor 367 , טקסנול,Optigel WX  מוצקים ל 70.5% למינעת סדיקה</v>
      </c>
      <c r="I1385" t="str">
        <v xml:space="preserve">   על בסיס   089 095   Levasil CC401 2.% , 22 %Encor 2394 , טקסנול,Optigel WX  מוצקים ל 70.5% למינעת סדיקה</v>
      </c>
    </row>
    <row r="1386">
      <c r="A1386" t="str">
        <v>הוראות יצור</v>
      </c>
      <c r="B1386" t="str">
        <v>שעה - הערות</v>
      </c>
      <c r="D1386" t="str">
        <v>חומר</v>
      </c>
      <c r="E1386" t="str">
        <v>כמות ק''ג</v>
      </c>
      <c r="F1386" t="str">
        <v>מהירות</v>
      </c>
      <c r="I1386" t="str">
        <v>הוראות יצור</v>
      </c>
      <c r="J1386" t="str">
        <v>שעה - הערות</v>
      </c>
      <c r="L1386" t="str">
        <v>חומר</v>
      </c>
      <c r="M1386" t="str">
        <v>כמות ק''ג</v>
      </c>
      <c r="N1386" t="str">
        <v>מהירות</v>
      </c>
    </row>
    <row r="1387">
      <c r="A1387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387" t="str">
        <v>water</v>
      </c>
      <c r="D1387" s="1">
        <v>0.1541</v>
      </c>
      <c r="E1387" s="2">
        <f>(E1405*D1387)</f>
        <v>539.3499999999999</v>
      </c>
      <c r="F1387">
        <v>500</v>
      </c>
      <c r="I1387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387" t="str">
        <v>water</v>
      </c>
      <c r="L1387" s="1">
        <v>0.1541</v>
      </c>
      <c r="M1387" s="2">
        <f>(M1405*L1387)</f>
        <v>539.3499999999999</v>
      </c>
      <c r="N1387">
        <v>500</v>
      </c>
    </row>
    <row r="1388">
      <c r="C1388" t="str">
        <v>Vinkocide CMIF</v>
      </c>
      <c r="D1388" s="1">
        <v>0.002</v>
      </c>
      <c r="E1388" s="2">
        <f>(E1405*D1388)</f>
        <v>7</v>
      </c>
      <c r="K1388" t="str">
        <v>Vinkocide CMIF</v>
      </c>
      <c r="L1388" s="1">
        <v>0.002</v>
      </c>
      <c r="M1388" s="2">
        <f>(M1405*L1388)</f>
        <v>7</v>
      </c>
    </row>
    <row r="1389">
      <c r="B1389" t="str">
        <v>1דקה</v>
      </c>
      <c r="C1389" t="str">
        <v>Levasil CC401</v>
      </c>
      <c r="D1389" s="1">
        <v>0.02</v>
      </c>
      <c r="E1389" s="2">
        <f>(E1405*D1389)</f>
        <v>70</v>
      </c>
      <c r="J1389" t="str">
        <v>1דקה</v>
      </c>
      <c r="K1389" t="str">
        <v>Levasil CC401</v>
      </c>
      <c r="L1389" s="1">
        <v>0.02</v>
      </c>
      <c r="M1389" s="2">
        <f>(M1405*L1389)</f>
        <v>70</v>
      </c>
    </row>
    <row r="1390">
      <c r="B1390" t="str">
        <v>3דקות</v>
      </c>
      <c r="C1390" t="str">
        <v>OROTAN 731</v>
      </c>
      <c r="D1390" s="1">
        <v>0.002</v>
      </c>
      <c r="E1390" s="2">
        <f>(E1405*D1390)</f>
        <v>7</v>
      </c>
      <c r="J1390" t="str">
        <v>3דקות</v>
      </c>
      <c r="K1390" t="str">
        <v>OROTAN 731</v>
      </c>
      <c r="L1390" s="1">
        <v>0.002</v>
      </c>
      <c r="M1390" s="2">
        <f>(M1405*L1390)</f>
        <v>7</v>
      </c>
    </row>
    <row r="1391">
      <c r="B1391" t="str">
        <v>1דקה</v>
      </c>
      <c r="C1391" t="str">
        <v>AGITAN 80</v>
      </c>
      <c r="D1391" s="1">
        <v>0.0005</v>
      </c>
      <c r="E1391" s="2">
        <f>(E1405*D1391)</f>
        <v>1.75</v>
      </c>
      <c r="F1391">
        <v>600</v>
      </c>
      <c r="J1391" t="str">
        <v>1דקה</v>
      </c>
      <c r="K1391" t="str">
        <v>AGITAN 80</v>
      </c>
      <c r="L1391" s="1">
        <v>0.0005</v>
      </c>
      <c r="M1391" s="2">
        <f>(M1405*L1391)</f>
        <v>1.75</v>
      </c>
      <c r="N1391">
        <v>600</v>
      </c>
    </row>
    <row r="1392">
      <c r="B1392" s="3" t="str">
        <v>3דקות</v>
      </c>
      <c r="C1392" t="str">
        <v>COMBIZELL</v>
      </c>
      <c r="D1392" s="1">
        <v>0.0026</v>
      </c>
      <c r="E1392" s="2">
        <f>(E1405*D1392)</f>
        <v>9.1</v>
      </c>
      <c r="F1392">
        <v>800</v>
      </c>
      <c r="K1392" t="str">
        <v>COMBIZELL</v>
      </c>
      <c r="L1392" s="1">
        <v>0.0026</v>
      </c>
      <c r="M1392" s="2">
        <f>(M1405*L1392)</f>
        <v>9.1</v>
      </c>
      <c r="N1392">
        <v>800</v>
      </c>
    </row>
    <row r="1393">
      <c r="C1393" t="str">
        <v>AGITAN 80</v>
      </c>
      <c r="D1393" s="1">
        <v>0.0005</v>
      </c>
      <c r="E1393" s="2">
        <f>(E1405*D1393)</f>
        <v>1.75</v>
      </c>
      <c r="J1393" s="3" t="str">
        <v>3דקות</v>
      </c>
      <c r="K1393" t="str">
        <v>AGITAN 80</v>
      </c>
      <c r="L1393" s="1">
        <v>0.0005</v>
      </c>
      <c r="M1393" s="2">
        <f>(M1405*L1393)</f>
        <v>1.75</v>
      </c>
    </row>
    <row r="1394" ht="27.600000000000005" customHeight="1">
      <c r="A1394" t="str">
        <v>וודא שאין קצף ופזר אופטגל ללא גושים- דספרסיה 10 דקות</v>
      </c>
      <c r="B1394" s="3" t="str">
        <v>10 דקות</v>
      </c>
      <c r="C1394" t="str">
        <v>Optigel WX</v>
      </c>
      <c r="D1394" s="1">
        <v>0.0045</v>
      </c>
      <c r="E1394" s="2">
        <f>(E1405*D1394)</f>
        <v>15.749999999999998</v>
      </c>
      <c r="F1394">
        <v>1130</v>
      </c>
      <c r="I1394" t="str">
        <v>וודא שאין קצף ופזר אופטגל ללא גושים- דספרסיה 10 דקות</v>
      </c>
      <c r="K1394" t="str">
        <v>Optigel WX</v>
      </c>
      <c r="L1394" s="1">
        <v>0.0045</v>
      </c>
      <c r="M1394" s="2">
        <f>(M1405*L1394)</f>
        <v>15.749999999999998</v>
      </c>
      <c r="N1394">
        <v>1130</v>
      </c>
    </row>
    <row r="1395">
      <c r="C1395" t="str">
        <v>AGITAN 80</v>
      </c>
      <c r="D1395" s="1">
        <v>0.0005</v>
      </c>
      <c r="E1395" s="2">
        <f>(E1405*D1395)</f>
        <v>1.75</v>
      </c>
      <c r="J1395" s="3" t="str">
        <v>10 דקות</v>
      </c>
      <c r="K1395" t="str">
        <v>AGITAN 80</v>
      </c>
      <c r="L1395" s="1">
        <v>0.0005</v>
      </c>
      <c r="M1395" s="2">
        <f>(M1405*L1395)</f>
        <v>1.75</v>
      </c>
    </row>
    <row r="1396">
      <c r="A1396" t="str">
        <v>הכנס ללא גושים ובסיום דספרסיה 5 דקות  בF 13</v>
      </c>
      <c r="B1396" s="3" t="str">
        <v>5דקות</v>
      </c>
      <c r="C1396" t="str">
        <v>TIONA 826</v>
      </c>
      <c r="D1396" s="1">
        <v>0.116</v>
      </c>
      <c r="E1396" s="2">
        <f>(E1405*D1396)</f>
        <v>406</v>
      </c>
      <c r="F1396">
        <v>800</v>
      </c>
      <c r="I1396" t="str">
        <v>הכנס ללא גושים ובסיום דספרסיה 5 דקות  בF 13</v>
      </c>
      <c r="J1396" s="3" t="str">
        <v>5דקות</v>
      </c>
      <c r="K1396" t="str">
        <v>TIONA 826</v>
      </c>
      <c r="L1396" s="1">
        <v>0.116</v>
      </c>
      <c r="M1396" s="2">
        <f>(M1405*L1396)</f>
        <v>406</v>
      </c>
      <c r="N1396">
        <v>800</v>
      </c>
    </row>
    <row r="1397">
      <c r="A1397" t="str">
        <v>הכנס ללא גושים ובסיום דספרסיה 5 דקות  בF 15</v>
      </c>
      <c r="B1397" s="3" t="str">
        <v>5דקות</v>
      </c>
      <c r="C1397" t="str">
        <v xml:space="preserve"> CHARMOR PM 40</v>
      </c>
      <c r="D1397" s="1">
        <v>0.0964</v>
      </c>
      <c r="E1397" s="2">
        <f>(E1405*D1397)</f>
        <v>337.4</v>
      </c>
      <c r="F1397">
        <v>900</v>
      </c>
      <c r="I1397" t="str">
        <v>הכנס ללא גושים ובסיום דספרסיה 5 דקות  בF 15</v>
      </c>
      <c r="J1397" s="3" t="str">
        <v>5דקות</v>
      </c>
      <c r="K1397" t="str">
        <v xml:space="preserve"> CHARMOR PM 40</v>
      </c>
      <c r="L1397" s="1">
        <v>0.0964</v>
      </c>
      <c r="M1397" s="2">
        <f>(M1405*L1397)</f>
        <v>337.4</v>
      </c>
      <c r="N1397">
        <v>900</v>
      </c>
    </row>
    <row r="1398">
      <c r="A1398" t="str">
        <v>הכנס ללא גושים ובסיום דספרסיה 5 דקות  בF 1 מנה י PP-1624</v>
      </c>
      <c r="B1398" s="3" t="str">
        <v>5דקות</v>
      </c>
      <c r="C1398" t="str">
        <v>MELAFINE</v>
      </c>
      <c r="D1398" s="1">
        <v>0.0964</v>
      </c>
      <c r="E1398" s="2">
        <f>(E1405*D1398)</f>
        <v>337.4</v>
      </c>
      <c r="F1398">
        <v>1130</v>
      </c>
      <c r="I1398" t="str">
        <v>הכנס ללא גושים ובסיום דספרסיה 5 דקות  בF 1 מנה י PP-1624</v>
      </c>
      <c r="J1398" s="3" t="str">
        <v>5דקות</v>
      </c>
      <c r="K1398" t="str">
        <v>MELAFINE</v>
      </c>
      <c r="L1398" s="1">
        <v>0.0964</v>
      </c>
      <c r="M1398" s="2">
        <f>(M1405*L1398)</f>
        <v>337.4</v>
      </c>
      <c r="N1398">
        <v>1130</v>
      </c>
    </row>
    <row r="1399">
      <c r="A1399" t="str">
        <v xml:space="preserve">הכנס בזרם דק עד להומוגניות  בF 15 </v>
      </c>
      <c r="C1399" s="3" t="str">
        <v>Texanol</v>
      </c>
      <c r="D1399" s="1">
        <v>0.01</v>
      </c>
      <c r="E1399" s="2">
        <f>(E1405*D1399)</f>
        <v>35</v>
      </c>
      <c r="F1399">
        <v>700</v>
      </c>
      <c r="I1399" t="str">
        <v xml:space="preserve">הכנס בזרם דק עד להומוגניות  בF 15 </v>
      </c>
      <c r="K1399" s="3" t="str">
        <v>Texanol</v>
      </c>
      <c r="L1399" s="1">
        <v>0.01</v>
      </c>
      <c r="M1399" s="2">
        <f>(M1405*L1399)</f>
        <v>35</v>
      </c>
      <c r="N1399">
        <v>700</v>
      </c>
    </row>
    <row r="1400" ht="27.600000000000005" customHeight="1">
      <c r="A1400" t="str">
        <v>הכנס ללא גושים  ב F18 עליה ל F21 ובסיום דספרסיה במשך 5 דקות . שים לב שלא יתחמם מידי</v>
      </c>
      <c r="B1400" s="3" t="str">
        <v>5דקות</v>
      </c>
      <c r="C1400" s="3" t="str">
        <v>FR CROS 487</v>
      </c>
      <c r="D1400" s="1">
        <v>0.243</v>
      </c>
      <c r="E1400" s="2">
        <f>(E1405*D1400)</f>
        <v>850.5</v>
      </c>
      <c r="F1400">
        <v>1130</v>
      </c>
      <c r="I1400" t="str">
        <v>הכנס ללא גושים  ב F18 עליה ל F21 ובסיום דספרסיה במשך 5 דקות . שים לב שלא יתחמם מידי</v>
      </c>
      <c r="J1400" s="3" t="str">
        <v>5דקות</v>
      </c>
      <c r="K1400" s="3" t="str">
        <v>FR CROS 487</v>
      </c>
      <c r="L1400" s="1">
        <v>0.243</v>
      </c>
      <c r="M1400" s="2">
        <f>(M1405*L1400)</f>
        <v>850.5</v>
      </c>
      <c r="N1400">
        <v>1130</v>
      </c>
    </row>
    <row r="1401">
      <c r="A1401" t="str">
        <v xml:space="preserve">הכנס בזרם דק עד להומוגניות </v>
      </c>
      <c r="C1401" s="3" t="str">
        <v>Encor 367</v>
      </c>
      <c r="D1401" s="6">
        <v>0.085</v>
      </c>
      <c r="E1401" s="2">
        <f>(E1405*D1401)</f>
        <v>297.5</v>
      </c>
      <c r="F1401">
        <v>900</v>
      </c>
      <c r="I1401" t="str">
        <v xml:space="preserve">הכנס בזרם דק עד להומוגניות </v>
      </c>
      <c r="K1401" s="3" t="str">
        <v>Encor 2394</v>
      </c>
      <c r="L1401" s="6">
        <v>0.085</v>
      </c>
      <c r="M1401" s="2">
        <f>(M1405*L1401)</f>
        <v>297.5</v>
      </c>
      <c r="N1401">
        <v>900</v>
      </c>
    </row>
    <row r="1402">
      <c r="A1402" t="str">
        <v>להכניס לאט ובהדרגה  לפוזור מלא ב12 F</v>
      </c>
      <c r="B1402" s="3" t="str">
        <v>3דקות</v>
      </c>
      <c r="C1402" s="3" t="str">
        <v>Lapinus CF 10</v>
      </c>
      <c r="D1402" s="1">
        <v>0.03</v>
      </c>
      <c r="E1402" s="2">
        <f>(E1405*D1402)</f>
        <v>105</v>
      </c>
      <c r="F1402">
        <v>1100</v>
      </c>
      <c r="I1402" t="str">
        <v>להכניס לאט ובהדרגה  לפוזור מלא ב12 F</v>
      </c>
      <c r="J1402" s="3" t="str">
        <v>3דקות</v>
      </c>
      <c r="K1402" s="3" t="str">
        <v>Lapinus CF 10</v>
      </c>
      <c r="L1402" s="1">
        <v>0.03</v>
      </c>
      <c r="M1402" s="2">
        <f>(M1405*L1402)</f>
        <v>105</v>
      </c>
      <c r="N1402">
        <v>1100</v>
      </c>
    </row>
    <row r="1403">
      <c r="A1403" t="str">
        <v>הכנס בזרם דק עד להומוגניות  בF 12  לאחר מכן הכנס אגיטן ובסיום המשך 7 דקות ערבול</v>
      </c>
      <c r="C1403" s="3" t="str">
        <v>Encor 367</v>
      </c>
      <c r="D1403" s="1">
        <v>0.135</v>
      </c>
      <c r="E1403" s="2">
        <f>(E1405*D1403)</f>
        <v>472.50000000000006</v>
      </c>
      <c r="F1403">
        <v>700</v>
      </c>
      <c r="I1403" t="str">
        <v>הכנס בזרם דק עד להומוגניות  בF 12  לאחר מכן הכנס אגיטן ובסיום המשך 7 דקות ערבול</v>
      </c>
      <c r="K1403" s="3" t="str">
        <v>Encor 2394</v>
      </c>
      <c r="L1403" s="1">
        <v>0.135</v>
      </c>
      <c r="M1403" s="2">
        <f>(M1405*L1403)</f>
        <v>472.50000000000006</v>
      </c>
      <c r="N1403">
        <v>700</v>
      </c>
    </row>
    <row r="1404">
      <c r="B1404" s="3" t="str">
        <v>3דקות</v>
      </c>
      <c r="C1404" s="3" t="str">
        <v>AGITAN 80</v>
      </c>
      <c r="D1404" s="1">
        <v>0.0015</v>
      </c>
      <c r="E1404" s="2">
        <f>(E1405*D1404)</f>
        <v>5.25</v>
      </c>
      <c r="J1404" s="3" t="str">
        <v>3דקות</v>
      </c>
      <c r="K1404" s="3" t="str">
        <v>AGITAN 80</v>
      </c>
      <c r="L1404" s="1">
        <v>0.0015</v>
      </c>
      <c r="M1404" s="2">
        <f>(M1405*L1404)</f>
        <v>5.25</v>
      </c>
    </row>
    <row r="1405">
      <c r="D1405" s="1">
        <f>SUM(D1387:D1404)</f>
        <v>0.9999999999999999</v>
      </c>
      <c r="E1405" s="2">
        <v>3500</v>
      </c>
      <c r="L1405" s="1">
        <f>SUM(L1387:L1404)</f>
        <v>0.9999999999999999</v>
      </c>
      <c r="M1405" s="2">
        <v>3500</v>
      </c>
    </row>
    <row r="1406">
      <c r="C1406" s="7">
        <f>SUM(D1392+D1394+D1396+D1397+D1398+D1400+D1401*0.55+D1402+D1403*0.55)</f>
        <v>0.7099</v>
      </c>
      <c r="E1406" s="2">
        <f>SUM(E1387:E1404)</f>
        <v>3500</v>
      </c>
      <c r="K1406" s="7">
        <f>SUM(L1392+L1394+L1396+L1397+L1398+L1400+L1401*0.55+L1402+L1403*0.55)</f>
        <v>0.7099</v>
      </c>
      <c r="M1406" s="2">
        <f>SUM(M1387:M1404)</f>
        <v>3500</v>
      </c>
    </row>
    <row r="1412">
      <c r="A1412" t="str">
        <v xml:space="preserve">      20.06.2024-099  Fresco INTUMESCENT</v>
      </c>
      <c r="I1412" t="str">
        <v xml:space="preserve">      01.07.2024-100  Fresco INTUMESCENT</v>
      </c>
    </row>
    <row r="1413">
      <c r="A1413" t="str">
        <v xml:space="preserve">   על בסיס   095 087   Levasil CC401 2.% , 24.4 %VINNAPAS EZ 3019 , טקסנול,' EXOLIT AP435Optigel WX  מוצקים ל 70.5% למינעת סדיקה</v>
      </c>
      <c r="I1413" t="str">
        <v xml:space="preserve">   על בסיס   095 087   Levasil CC401 2.% , 24.4 %VINNAPAS EZ 3019 ,  KRONOS 2160מוצקים ל 70.5% למינעת סדיקה</v>
      </c>
    </row>
    <row r="1414">
      <c r="A1414" t="str">
        <v>הוראות יצור</v>
      </c>
      <c r="B1414" t="str">
        <v>שעה - הערות</v>
      </c>
      <c r="D1414" t="str">
        <v>חומר</v>
      </c>
      <c r="E1414" t="str">
        <v>כמות ק''ג</v>
      </c>
      <c r="F1414" t="str">
        <v>מהירות</v>
      </c>
      <c r="I1414" t="str">
        <v>הוראות יצור</v>
      </c>
      <c r="J1414" t="str">
        <v>שעה - הערות</v>
      </c>
      <c r="L1414" t="str">
        <v>חומר</v>
      </c>
      <c r="M1414" t="str">
        <v>כמות ק''ג</v>
      </c>
      <c r="N1414" t="str">
        <v>מהירות</v>
      </c>
    </row>
    <row r="1415">
      <c r="A1415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415" t="str">
        <v>water</v>
      </c>
      <c r="D1415" s="1">
        <v>0.1396</v>
      </c>
      <c r="E1415" s="2">
        <f>(E1433*D1415)</f>
        <v>558.4</v>
      </c>
      <c r="F1415">
        <v>500</v>
      </c>
      <c r="I1415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415" t="str">
        <v>water</v>
      </c>
      <c r="L1415" s="1">
        <v>0.1396</v>
      </c>
      <c r="M1415" s="2">
        <f>(M1433*L1415)</f>
        <v>628.2</v>
      </c>
      <c r="N1415">
        <v>200</v>
      </c>
    </row>
    <row r="1416">
      <c r="C1416" t="str">
        <v>Vinkocide CMIF</v>
      </c>
      <c r="D1416" s="1">
        <v>0.002</v>
      </c>
      <c r="E1416" s="2">
        <f>(E1433*D1416)</f>
        <v>8</v>
      </c>
      <c r="K1416" t="str">
        <v>Vinkocide CMIF</v>
      </c>
      <c r="L1416" s="1">
        <v>0.002</v>
      </c>
      <c r="M1416" s="2">
        <f>(M1433*L1416)</f>
        <v>9</v>
      </c>
      <c r="N1416">
        <v>200</v>
      </c>
    </row>
    <row r="1417">
      <c r="B1417" t="str">
        <v>1דקה</v>
      </c>
      <c r="C1417" t="str">
        <v>Levasil CC401</v>
      </c>
      <c r="D1417" s="1">
        <v>0.02</v>
      </c>
      <c r="E1417" s="2">
        <f>(E1433*D1417)</f>
        <v>80</v>
      </c>
      <c r="J1417" t="str">
        <v>1דקה</v>
      </c>
      <c r="K1417" t="str">
        <v>Levasil CC401</v>
      </c>
      <c r="L1417" s="1">
        <v>0.02</v>
      </c>
      <c r="M1417" s="2">
        <f>(M1433*L1417)</f>
        <v>90</v>
      </c>
      <c r="N1417">
        <v>200</v>
      </c>
    </row>
    <row r="1418">
      <c r="B1418" t="str">
        <v>3דקות</v>
      </c>
      <c r="C1418" t="str">
        <v>OROTAN 731</v>
      </c>
      <c r="D1418" s="1">
        <v>0.002</v>
      </c>
      <c r="E1418" s="2">
        <f>(E1433*D1418)</f>
        <v>8</v>
      </c>
      <c r="J1418" t="str">
        <v>3דקות</v>
      </c>
      <c r="K1418" t="str">
        <v>OROTAN 731</v>
      </c>
      <c r="L1418" s="1">
        <v>0.002</v>
      </c>
      <c r="M1418" s="2">
        <f>(M1433*L1418)</f>
        <v>9</v>
      </c>
      <c r="N1418">
        <v>330</v>
      </c>
    </row>
    <row r="1419">
      <c r="B1419" t="str">
        <v>1דקה</v>
      </c>
      <c r="C1419" t="str">
        <v>AGITAN 80</v>
      </c>
      <c r="D1419" s="1">
        <v>0.0005</v>
      </c>
      <c r="E1419" s="2">
        <f>(E1433*D1419)</f>
        <v>2</v>
      </c>
      <c r="F1419">
        <v>600</v>
      </c>
      <c r="J1419" t="str">
        <v>1דקה</v>
      </c>
      <c r="K1419" t="str">
        <v>AGITAN 80</v>
      </c>
      <c r="L1419" s="1">
        <v>0.0005</v>
      </c>
      <c r="M1419" s="2">
        <f>(M1433*L1419)</f>
        <v>2.25</v>
      </c>
      <c r="N1419">
        <v>350</v>
      </c>
    </row>
    <row r="1420">
      <c r="C1420" t="str">
        <v>COMBIZELL</v>
      </c>
      <c r="D1420" s="1">
        <v>0.0026</v>
      </c>
      <c r="E1420" s="2">
        <f>(E1433*D1420)</f>
        <v>10.4</v>
      </c>
      <c r="F1420">
        <v>800</v>
      </c>
      <c r="K1420" t="str">
        <v>COMBIZELL</v>
      </c>
      <c r="L1420" s="1">
        <v>0.0026</v>
      </c>
      <c r="M1420" s="2">
        <f>(M1433*L1420)</f>
        <v>11.7</v>
      </c>
      <c r="N1420">
        <v>390</v>
      </c>
    </row>
    <row r="1421">
      <c r="B1421" s="3" t="str">
        <v>3דקות</v>
      </c>
      <c r="C1421" t="str">
        <v>AGITAN 80</v>
      </c>
      <c r="D1421" s="1">
        <v>0.0005</v>
      </c>
      <c r="E1421" s="2">
        <f>(E1433*D1421)</f>
        <v>2</v>
      </c>
      <c r="J1421" s="3" t="str">
        <v>3דקות</v>
      </c>
      <c r="K1421" t="str">
        <v>AGITAN 80</v>
      </c>
      <c r="L1421" s="1">
        <v>0.0005</v>
      </c>
      <c r="M1421" s="2">
        <f>(M1433*L1421)</f>
        <v>2.25</v>
      </c>
      <c r="N1421">
        <v>485</v>
      </c>
    </row>
    <row r="1422" ht="27.600000000000005" customHeight="1">
      <c r="A1422" t="str">
        <v>וודא שאין קצף ופזר אופטגל ללא גושים- דספרסיה 10 דקות</v>
      </c>
      <c r="C1422" t="str">
        <v>Optigel WX</v>
      </c>
      <c r="D1422" s="1">
        <v>0.0045</v>
      </c>
      <c r="E1422" s="2">
        <f>(E1433*D1422)</f>
        <v>18</v>
      </c>
      <c r="F1422">
        <v>1130</v>
      </c>
      <c r="I1422" t="str">
        <v>וודא שאין קצף ופזר אופטגל ללא גושים- דספרסיה 10 דקות</v>
      </c>
      <c r="K1422" t="str">
        <v>Optigel WX</v>
      </c>
      <c r="L1422" s="1">
        <v>0.0045</v>
      </c>
      <c r="M1422" s="2">
        <f>(M1433*L1422)</f>
        <v>20.25</v>
      </c>
      <c r="N1422">
        <v>1000</v>
      </c>
    </row>
    <row r="1423">
      <c r="B1423" s="3" t="str">
        <v>10 דקות</v>
      </c>
      <c r="C1423" t="str">
        <v>AGITAN 80</v>
      </c>
      <c r="D1423" s="1">
        <v>0.0005</v>
      </c>
      <c r="E1423" s="2">
        <f>(E1433*D1423)</f>
        <v>2</v>
      </c>
      <c r="J1423" s="3" t="str">
        <v>10 דקות</v>
      </c>
      <c r="K1423" t="str">
        <v>AGITAN 80</v>
      </c>
      <c r="L1423" s="1">
        <v>0.0005</v>
      </c>
      <c r="M1423" s="2">
        <f>(M1433*L1423)</f>
        <v>2.25</v>
      </c>
    </row>
    <row r="1424">
      <c r="A1424" t="str">
        <v>הכנס ללא גושים ובסיום דספרסיה 5 דקות  בF 13</v>
      </c>
      <c r="B1424" s="3" t="str">
        <v>5דקות</v>
      </c>
      <c r="C1424" t="str">
        <v>TIONA 826</v>
      </c>
      <c r="D1424" s="1">
        <v>0.116</v>
      </c>
      <c r="E1424" s="2">
        <f>(E1433*D1424)</f>
        <v>464</v>
      </c>
      <c r="F1424">
        <v>800</v>
      </c>
      <c r="I1424" t="str">
        <v>הכנס ללא גושים ובסיום דספרסיה 5 דקות  בF 13</v>
      </c>
      <c r="J1424" s="3" t="str">
        <v>5דקות</v>
      </c>
      <c r="K1424" t="str">
        <v>KRONOS 2160</v>
      </c>
      <c r="L1424" s="1">
        <v>0.116</v>
      </c>
      <c r="M1424" s="2">
        <f>(M1433*L1424)</f>
        <v>522</v>
      </c>
      <c r="N1424">
        <v>800</v>
      </c>
    </row>
    <row r="1425">
      <c r="A1425" t="str">
        <v>הכנס ללא גושים ובסיום דספרסיה 5 דקות  בF 15</v>
      </c>
      <c r="B1425" s="3" t="str">
        <v>5דקות</v>
      </c>
      <c r="C1425" t="str">
        <v xml:space="preserve"> CHARMOR PM 40</v>
      </c>
      <c r="D1425" s="1">
        <v>0.0964</v>
      </c>
      <c r="E1425" s="2">
        <f>(E1433*D1425)</f>
        <v>385.6</v>
      </c>
      <c r="F1425">
        <v>900</v>
      </c>
      <c r="I1425" t="str">
        <v>הכנס ללא גושים ובסיום דספרסיה 5 דקות  בF 15</v>
      </c>
      <c r="J1425" s="3" t="str">
        <v>5דקות</v>
      </c>
      <c r="K1425" t="str">
        <v xml:space="preserve"> CHARMOR PM 40</v>
      </c>
      <c r="L1425" s="1">
        <v>0.0964</v>
      </c>
      <c r="M1425" s="2">
        <f>(M1433*L1425)</f>
        <v>433.8</v>
      </c>
      <c r="N1425">
        <v>850</v>
      </c>
    </row>
    <row r="1426">
      <c r="A1426" t="str">
        <v>הכנס ללא גושים ובסיום דספרסיה 5 דקות  בF 1 מנה י PP-1624</v>
      </c>
      <c r="B1426" s="3" t="str">
        <v>5דקות</v>
      </c>
      <c r="C1426" t="str">
        <v>MELAFINE</v>
      </c>
      <c r="D1426" s="1">
        <v>0.0964</v>
      </c>
      <c r="E1426" s="2">
        <f>(E1433*D1426)</f>
        <v>385.6</v>
      </c>
      <c r="F1426">
        <v>1130</v>
      </c>
      <c r="I1426" t="str">
        <v>הכנס ללא גושים ובסיום דספרסיה 5 דקות  בF 1 מנה י PP-1624</v>
      </c>
      <c r="J1426" s="3" t="str">
        <v>5דקות</v>
      </c>
      <c r="K1426" t="str">
        <v>MELAFINE</v>
      </c>
      <c r="L1426" s="1">
        <v>0.0964</v>
      </c>
      <c r="M1426" s="2">
        <f>(M1433*L1426)</f>
        <v>433.8</v>
      </c>
      <c r="N1426">
        <v>900</v>
      </c>
    </row>
    <row r="1427">
      <c r="A1427" t="str">
        <v xml:space="preserve">הכנס בזרם דק עד להומוגניות  בF 15 </v>
      </c>
      <c r="C1427" s="3" t="str">
        <v>Texanol</v>
      </c>
      <c r="D1427" s="1">
        <v>0.005</v>
      </c>
      <c r="E1427" s="2">
        <f>(E1433*D1427)</f>
        <v>20</v>
      </c>
      <c r="F1427">
        <v>700</v>
      </c>
      <c r="I1427" t="str">
        <v xml:space="preserve">הכנס בזרם דק עד להומוגניות  בF 15 </v>
      </c>
      <c r="K1427" s="3" t="str">
        <v>Texanol</v>
      </c>
      <c r="L1427" s="1">
        <v>0.005</v>
      </c>
      <c r="M1427" s="2">
        <f>(M1433*L1427)</f>
        <v>22.5</v>
      </c>
      <c r="N1427">
        <v>600</v>
      </c>
    </row>
    <row r="1428" ht="27.600000000000005" customHeight="1">
      <c r="A1428" t="str">
        <v>הכנס ללא גושים  ב F18 עליה ל F21 ובסיום דספרסיה במשך 5 דקות . שים לב שלא יתחמם מידי</v>
      </c>
      <c r="B1428" s="3" t="str">
        <v>5דקות</v>
      </c>
      <c r="C1428" s="3" t="str">
        <v>EXOLIT AP435</v>
      </c>
      <c r="D1428" s="1">
        <v>0.243</v>
      </c>
      <c r="E1428" s="2">
        <f>(E1433*D1428)</f>
        <v>972</v>
      </c>
      <c r="F1428">
        <v>1130</v>
      </c>
      <c r="I1428" t="str">
        <v>הכנס ללא גושים  ב F18 עליה ל F21 ובסיום דספרסיה במשך 5 דקות . שים לב שלא יתחמם מידי</v>
      </c>
      <c r="J1428" s="3" t="str">
        <v>5דקות</v>
      </c>
      <c r="K1428" s="3" t="str">
        <v>FR CROS 487</v>
      </c>
      <c r="L1428" s="1">
        <v>0.243</v>
      </c>
      <c r="M1428" s="2">
        <f>(M1433*L1428)</f>
        <v>1093.5</v>
      </c>
      <c r="N1428">
        <v>600</v>
      </c>
    </row>
    <row r="1429">
      <c r="A1429" t="str">
        <v xml:space="preserve">הכנס בזרם דק עד להומוגניות </v>
      </c>
      <c r="C1429" s="3" t="str">
        <v>VINNAPAS EZ 3019</v>
      </c>
      <c r="D1429" s="6">
        <v>0.085</v>
      </c>
      <c r="E1429" s="2">
        <f>(E1433*D1429)</f>
        <v>340</v>
      </c>
      <c r="F1429">
        <v>900</v>
      </c>
      <c r="I1429" t="str">
        <v xml:space="preserve">הכנס בזרם דק עד להומוגניות </v>
      </c>
      <c r="K1429" s="3" t="str">
        <v>VINNAPAS EZ 3019</v>
      </c>
      <c r="L1429" s="6">
        <v>0.085</v>
      </c>
      <c r="M1429" s="2">
        <f>(M1433*L1429)</f>
        <v>382.5</v>
      </c>
      <c r="N1429">
        <v>600</v>
      </c>
    </row>
    <row r="1430">
      <c r="A1430" t="str">
        <v>להכניס לאט ובהדרגה  לפוזור מלא ב12 F</v>
      </c>
      <c r="B1430" s="3" t="str">
        <v>3דקות</v>
      </c>
      <c r="C1430" s="3" t="str">
        <v>Lapinus CF 10</v>
      </c>
      <c r="D1430" s="1">
        <v>0.03</v>
      </c>
      <c r="E1430" s="2">
        <f>(E1433*D1430)</f>
        <v>120</v>
      </c>
      <c r="F1430">
        <v>1100</v>
      </c>
      <c r="I1430" t="str">
        <v>להכניס לאט ובהדרגה  לפוזור מלא ב12 F</v>
      </c>
      <c r="J1430" s="3" t="str">
        <v>3דקות</v>
      </c>
      <c r="K1430" s="3" t="str">
        <v>Lapinus CF 10</v>
      </c>
      <c r="L1430" s="1">
        <v>0.03</v>
      </c>
      <c r="M1430" s="2">
        <f>(M1433*L1430)</f>
        <v>135</v>
      </c>
      <c r="N1430" t="str">
        <v>קנווד 1-2</v>
      </c>
    </row>
    <row r="1431">
      <c r="A1431" t="str">
        <v>הכנס בזרם דק עד להומוגניות  בF 12  לאחר מכן הכנס אגיטן ובסיום המשך 7 דקות ערבול</v>
      </c>
      <c r="C1431" s="3" t="str">
        <v>VINNAPAS EZ 3019</v>
      </c>
      <c r="D1431" s="1">
        <v>0.1545</v>
      </c>
      <c r="E1431" s="2">
        <f>(E1433*D1431)</f>
        <v>618</v>
      </c>
      <c r="F1431">
        <v>700</v>
      </c>
      <c r="I1431" t="str">
        <v>הכנס בזרם דק עד להומוגניות  בF 12  לאחר מכן הכנס אגיטן ובסיום המשך 7 דקות ערבול</v>
      </c>
      <c r="K1431" s="3" t="str">
        <v>VINNAPAS EZ 3019</v>
      </c>
      <c r="L1431" s="1">
        <v>0.1545</v>
      </c>
      <c r="M1431" s="2">
        <f>(M1433*L1431)</f>
        <v>695.25</v>
      </c>
      <c r="N1431" t="str">
        <v>קנווד1</v>
      </c>
    </row>
    <row r="1432">
      <c r="B1432" s="3" t="str">
        <v>3דקות</v>
      </c>
      <c r="C1432" s="3" t="str">
        <v>AGITAN 80</v>
      </c>
      <c r="D1432" s="1">
        <v>0.0015</v>
      </c>
      <c r="E1432" s="2">
        <f>(E1433*D1432)</f>
        <v>6</v>
      </c>
      <c r="J1432" s="3" t="str">
        <v>10דקות</v>
      </c>
      <c r="K1432" s="3" t="str">
        <v>AGITAN 80</v>
      </c>
      <c r="L1432" s="1">
        <v>0.0015</v>
      </c>
      <c r="M1432" s="2">
        <f>(M1433*L1432)</f>
        <v>6.75</v>
      </c>
      <c r="N1432" t="str">
        <v>קנווד 1</v>
      </c>
    </row>
    <row r="1433">
      <c r="D1433" s="1">
        <f>SUM(D1415:D1432)</f>
        <v>0.9999999999999999</v>
      </c>
      <c r="E1433" s="2">
        <v>4000</v>
      </c>
      <c r="L1433" s="1">
        <f>SUM(L1415:L1432)</f>
        <v>0.9999999999999999</v>
      </c>
      <c r="M1433" s="2">
        <v>4500</v>
      </c>
    </row>
    <row r="1434">
      <c r="C1434" s="7">
        <f>SUM(D1420+D1422+D1424+D1425+D1426+D1428+D1429*0.5+D1430+D1431*0.5)</f>
        <v>0.70865</v>
      </c>
      <c r="E1434" s="2">
        <f>SUM(E1415:E1432)</f>
        <v>4000</v>
      </c>
      <c r="K1434" s="7">
        <f>SUM(L1420+L1422+L1424+L1425+L1426+L1428+L1429*0.5+L1430+L1431*0.5)</f>
        <v>0.70865</v>
      </c>
      <c r="M1434" s="2">
        <f>SUM(M1415:M1432)</f>
        <v>4500</v>
      </c>
    </row>
    <row r="1438">
      <c r="A1438" t="str">
        <v xml:space="preserve">     14.08.2024-101   Fresco INTUMESCENT</v>
      </c>
    </row>
    <row r="1439">
      <c r="A1439" t="str">
        <v xml:space="preserve"> על בסיס 057 092 095 Levasil CC401 2.%, 23.95 %VINNAPAS EZ 3019,ל,Optigel WX Viscotex 730 מוצקים ל 70.5% למינעת סדיקה-קנווד בסוף</v>
      </c>
      <c r="I1439" t="str">
        <v xml:space="preserve">    09.10.2024-102   Fresco INTUMESCENT</v>
      </c>
    </row>
    <row r="1440">
      <c r="A1440" t="str">
        <v>הוראות יצור</v>
      </c>
      <c r="B1440" t="str">
        <v>שעה - הערות</v>
      </c>
      <c r="D1440" t="str">
        <v>חומר</v>
      </c>
      <c r="E1440" t="str">
        <v>כמות ק''ג</v>
      </c>
      <c r="F1440" t="str">
        <v>מהירות</v>
      </c>
      <c r="I1440" t="str">
        <v xml:space="preserve">   על בסיס   095 שינוי סדר הכנסה של האמולסיה Levasil CC401 2.% , 23.95 %VINNAPAS EZ 3019 , טקסנול,Optigel WX  מוצקים ל 70.5% למינעת סדיקה</v>
      </c>
    </row>
    <row r="1441">
      <c r="A1441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441" t="str">
        <v>water</v>
      </c>
      <c r="D1441" s="1">
        <v>0.1399</v>
      </c>
      <c r="E1441" s="2">
        <f>(E1460*D1441)</f>
        <v>629.55</v>
      </c>
      <c r="F1441">
        <v>200</v>
      </c>
      <c r="I1441" t="str">
        <v>הוראות יצור</v>
      </c>
      <c r="J1441" t="str">
        <v xml:space="preserve">שעה - </v>
      </c>
      <c r="L1441" t="str">
        <v>חומר</v>
      </c>
      <c r="M1441" t="str">
        <v>כמות ק''ג</v>
      </c>
      <c r="N1441" t="str">
        <v>מהירות</v>
      </c>
      <c r="O1441" t="str">
        <v>הערות</v>
      </c>
    </row>
    <row r="1442">
      <c r="C1442" t="str">
        <v>Vinkocide CMIF</v>
      </c>
      <c r="D1442" s="1">
        <v>0.002</v>
      </c>
      <c r="E1442" s="2">
        <f>(E1460*D1442)</f>
        <v>9</v>
      </c>
      <c r="F1442">
        <v>200</v>
      </c>
      <c r="I1442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442" t="str">
        <v>water</v>
      </c>
      <c r="L1442" s="1">
        <v>0.1396</v>
      </c>
      <c r="M1442" s="2">
        <f>(M$1461*L1442)</f>
        <v>139.6</v>
      </c>
      <c r="N1442">
        <v>200</v>
      </c>
    </row>
    <row r="1443">
      <c r="B1443" t="str">
        <v>1דקה</v>
      </c>
      <c r="C1443" t="str">
        <v>Levasil CC401</v>
      </c>
      <c r="D1443" s="1">
        <v>0.02</v>
      </c>
      <c r="E1443" s="2">
        <f>(E1460*D1443)</f>
        <v>90</v>
      </c>
      <c r="F1443">
        <v>200</v>
      </c>
      <c r="K1443" t="str">
        <v>Vinkocide CMIF</v>
      </c>
      <c r="L1443" s="1">
        <v>0.002</v>
      </c>
      <c r="M1443" s="2">
        <f>(M$1461*L1443)</f>
        <v>2</v>
      </c>
      <c r="N1443">
        <v>200</v>
      </c>
    </row>
    <row r="1444">
      <c r="C1444" t="str">
        <v>OROTAN 731</v>
      </c>
      <c r="D1444" s="1">
        <v>0.002</v>
      </c>
      <c r="E1444" s="2">
        <f>(E1460*D1444)</f>
        <v>9</v>
      </c>
      <c r="F1444">
        <v>330</v>
      </c>
      <c r="J1444" t="str">
        <v>1דקה</v>
      </c>
      <c r="K1444" t="str">
        <v>Levasil CC401</v>
      </c>
      <c r="L1444" s="1">
        <v>0.02</v>
      </c>
      <c r="M1444" s="2">
        <f>(M$1461*L1444)</f>
        <v>20</v>
      </c>
      <c r="N1444">
        <v>200</v>
      </c>
    </row>
    <row r="1445">
      <c r="B1445" t="str">
        <v>3דקה</v>
      </c>
      <c r="C1445" t="str">
        <v>AGITAN 80</v>
      </c>
      <c r="D1445" s="1">
        <v>0.0005</v>
      </c>
      <c r="E1445" s="2">
        <f>(E1460*D1445)</f>
        <v>2.25</v>
      </c>
      <c r="F1445">
        <v>350</v>
      </c>
      <c r="J1445" t="str">
        <v>3דקות</v>
      </c>
      <c r="K1445" t="str">
        <v>OROTAN 731</v>
      </c>
      <c r="L1445" s="1">
        <v>0.002</v>
      </c>
      <c r="M1445" s="2">
        <f>(M$1461*L1445)</f>
        <v>2</v>
      </c>
      <c r="N1445">
        <v>330</v>
      </c>
    </row>
    <row r="1446">
      <c r="C1446" t="str">
        <v>COMBIZELL</v>
      </c>
      <c r="D1446" s="1">
        <v>0.0014</v>
      </c>
      <c r="E1446" s="2">
        <f>(E1460*D1446)</f>
        <v>6.3</v>
      </c>
      <c r="F1446">
        <v>450</v>
      </c>
      <c r="J1446" t="str">
        <v>1דקה</v>
      </c>
      <c r="K1446" t="str">
        <v>AGITAN 80</v>
      </c>
      <c r="L1446" s="1">
        <v>0.0005</v>
      </c>
      <c r="M1446" s="2">
        <f>(M$1461*L1446)</f>
        <v>0.5</v>
      </c>
      <c r="N1446">
        <v>350</v>
      </c>
    </row>
    <row r="1447">
      <c r="B1447" s="3" t="str">
        <v>3דקות</v>
      </c>
      <c r="C1447" t="str">
        <v>AGITAN 80</v>
      </c>
      <c r="D1447" s="1">
        <v>0.0005</v>
      </c>
      <c r="E1447" s="2">
        <f>(E1460*D1447)</f>
        <v>2.25</v>
      </c>
      <c r="F1447">
        <v>520</v>
      </c>
      <c r="J1447" s="3" t="str">
        <v>3דקות</v>
      </c>
      <c r="K1447" t="str">
        <v>COMBIZELL</v>
      </c>
      <c r="L1447" s="1">
        <v>0.0026</v>
      </c>
      <c r="M1447" s="2">
        <f>(M$1461*L1447)</f>
        <v>2.6</v>
      </c>
      <c r="N1447">
        <v>400</v>
      </c>
    </row>
    <row r="1448">
      <c r="A1448" t="str">
        <v>וודא שאין קצף ופזר אופטגל ללא גושים- דספרסיה 10 דקות</v>
      </c>
      <c r="B1448" s="3" t="str">
        <v>10 דקות</v>
      </c>
      <c r="C1448" t="str">
        <v>Optigel WX</v>
      </c>
      <c r="D1448" s="1">
        <v>0.004</v>
      </c>
      <c r="E1448" s="2">
        <f>(E1460*D1448)</f>
        <v>18</v>
      </c>
      <c r="F1448">
        <v>1000</v>
      </c>
      <c r="K1448" t="str">
        <v>AGITAN 80</v>
      </c>
      <c r="L1448" s="1">
        <v>0.0005</v>
      </c>
      <c r="M1448" s="2">
        <f>(M$1461*L1448)</f>
        <v>0.5</v>
      </c>
      <c r="N1448">
        <v>520</v>
      </c>
    </row>
    <row r="1449" ht="27.600000000000005" customHeight="1">
      <c r="C1449" t="str">
        <v>AGITAN 80</v>
      </c>
      <c r="D1449" s="1">
        <v>0.0005</v>
      </c>
      <c r="E1449" s="2">
        <f>(E1460*D1449)</f>
        <v>2.25</v>
      </c>
      <c r="F1449">
        <v>1000</v>
      </c>
      <c r="I1449" t="str">
        <v>וודא שאין קצף ופזר אופטגל ללא גושים- דספרסיה 10 דקות</v>
      </c>
      <c r="J1449" s="3" t="str">
        <v>10 דקות</v>
      </c>
      <c r="K1449" t="str">
        <v>Optigel WX</v>
      </c>
      <c r="L1449" s="1">
        <v>0.0045</v>
      </c>
      <c r="M1449" s="2">
        <f>(M$1461*L1449)</f>
        <v>4.5</v>
      </c>
      <c r="N1449">
        <v>1000</v>
      </c>
    </row>
    <row r="1450">
      <c r="A1450" t="str">
        <v>הכנס ללא גושים ובסיום דספרסיה 5 דקות  בF 13</v>
      </c>
      <c r="B1450" s="3" t="str">
        <v>5דקות</v>
      </c>
      <c r="C1450" t="str">
        <v>TIONA 826</v>
      </c>
      <c r="D1450" s="1">
        <v>0.116</v>
      </c>
      <c r="E1450" s="2">
        <f>(E1460*D1450)</f>
        <v>522</v>
      </c>
      <c r="F1450">
        <v>800</v>
      </c>
      <c r="K1450" t="str">
        <v>AGITAN 80</v>
      </c>
      <c r="L1450" s="1">
        <v>0.0005</v>
      </c>
      <c r="M1450" s="2">
        <f>(M$1461*L1450)</f>
        <v>0.5</v>
      </c>
      <c r="N1450">
        <v>1100</v>
      </c>
    </row>
    <row r="1451">
      <c r="A1451" t="str">
        <v>הכנס ללא גושים ובסיום דספרסיה 5 דקות  בF 15</v>
      </c>
      <c r="B1451" s="3" t="str">
        <v>5דקות</v>
      </c>
      <c r="C1451" t="str">
        <v xml:space="preserve"> CHARMOR PM 40</v>
      </c>
      <c r="D1451" s="1">
        <v>0.0964</v>
      </c>
      <c r="E1451" s="2">
        <f>(E1460*D1451)</f>
        <v>433.8</v>
      </c>
      <c r="F1451">
        <v>850</v>
      </c>
      <c r="I1451" t="str">
        <v>הכנס ללא גושים ובסיום דספרסיה 5 דקות  בF 13</v>
      </c>
      <c r="J1451" s="3" t="str">
        <v>5דקות</v>
      </c>
      <c r="K1451" t="str">
        <v>TIONA 826</v>
      </c>
      <c r="L1451" s="1">
        <v>0.116</v>
      </c>
      <c r="M1451" s="2">
        <f>(M$1461*L1451)</f>
        <v>116</v>
      </c>
      <c r="N1451">
        <v>850</v>
      </c>
    </row>
    <row r="1452">
      <c r="A1452" t="str">
        <v>הכנס ללא גושים ובסיום דספרסיה 5 דקות  בF 1 מנה י PP-1624</v>
      </c>
      <c r="B1452" s="3" t="str">
        <v>5דקות</v>
      </c>
      <c r="C1452" t="str">
        <v>MELAFINE</v>
      </c>
      <c r="D1452" s="1">
        <v>0.0964</v>
      </c>
      <c r="E1452" s="2">
        <f>(E1460*D1452)</f>
        <v>433.8</v>
      </c>
      <c r="F1452">
        <v>900</v>
      </c>
      <c r="I1452" t="str">
        <v>הכנס ללא גושים ובסיום דספרסיה 5 דקות  בF 15</v>
      </c>
      <c r="J1452" s="3" t="str">
        <v>5דקות</v>
      </c>
      <c r="K1452" t="str">
        <v xml:space="preserve"> CHARMOR PM 40</v>
      </c>
      <c r="L1452" s="1">
        <v>0.0964</v>
      </c>
      <c r="M1452" s="2">
        <f>(M$1461*L1452)</f>
        <v>96.4</v>
      </c>
      <c r="N1452">
        <v>850</v>
      </c>
    </row>
    <row r="1453">
      <c r="A1453" t="str">
        <v xml:space="preserve">הכנס בזרם דק עד להומוגניות  בF 15 </v>
      </c>
      <c r="B1453" s="3" t="str">
        <v>2דקות למדוד חום</v>
      </c>
      <c r="C1453" s="3" t="str">
        <v>Texanol</v>
      </c>
      <c r="D1453" s="1">
        <v>0.005</v>
      </c>
      <c r="E1453" s="2">
        <f>(E1460*D1453)</f>
        <v>22.5</v>
      </c>
      <c r="F1453">
        <v>700</v>
      </c>
      <c r="I1453" t="str">
        <v>הכנס ללא גושים ובסיום דספרסיה 5 דקות  בF 1 מנה י PP-1624</v>
      </c>
      <c r="J1453" s="3" t="str">
        <v>5דקות</v>
      </c>
      <c r="K1453" t="str">
        <v>MELAFINE</v>
      </c>
      <c r="L1453" s="1">
        <v>0.0964</v>
      </c>
      <c r="M1453" s="2">
        <f>(M$1461*L1453)</f>
        <v>96.4</v>
      </c>
      <c r="N1453">
        <v>900</v>
      </c>
    </row>
    <row r="1454" ht="27.600000000000005" customHeight="1">
      <c r="A1454" t="str">
        <v>הכנס ללא גושים  ב F18 עליה ל F21 ובסיום דספרסיה במשך 5 דקות . שים לב שלא יתחמם מידי</v>
      </c>
      <c r="B1454" s="3" t="str">
        <v>5דקות בסוף מעבר לקנווד</v>
      </c>
      <c r="C1454" s="3" t="str">
        <v>FR CROS 487</v>
      </c>
      <c r="D1454" s="1">
        <v>0.243</v>
      </c>
      <c r="E1454" s="2">
        <f>(E1460*D1454)</f>
        <v>1093.5</v>
      </c>
      <c r="F1454">
        <v>600</v>
      </c>
      <c r="I1454" t="str">
        <v xml:space="preserve">הכנס בזרם דק עד להומוגניות  בF 15 </v>
      </c>
      <c r="K1454" s="3" t="str">
        <v>Texanol</v>
      </c>
      <c r="L1454" s="1">
        <v>0.005</v>
      </c>
      <c r="M1454" s="2">
        <f>(M$1461*L1454)</f>
        <v>5</v>
      </c>
      <c r="N1454">
        <v>600</v>
      </c>
    </row>
    <row r="1455" ht="55.20000000000001" customHeight="1">
      <c r="A1455" t="str">
        <v xml:space="preserve">הכנס בזרם דק עד להומוגניות </v>
      </c>
      <c r="B1455" s="3" t="str">
        <v>הכנסה לסרוגין עם קרוס, בסיום למדוד חום</v>
      </c>
      <c r="C1455" s="3" t="str">
        <v>VINNAPAS EZ 3019</v>
      </c>
      <c r="D1455" s="6">
        <v>0.085</v>
      </c>
      <c r="E1455" s="2">
        <f>(E1460*D1455)</f>
        <v>382.5</v>
      </c>
      <c r="F1455">
        <v>600</v>
      </c>
      <c r="I1455" t="str">
        <v>הכנס ללא גושים ובסיום דספרסיה במשך 5 דקות . שים לב שלא יתחמם מידי</v>
      </c>
      <c r="K1455" s="3" t="str">
        <v>VINNAPAS EZ 3019</v>
      </c>
      <c r="L1455" s="1">
        <v>0.12</v>
      </c>
      <c r="M1455" s="2">
        <f>(M$1461*L1455)</f>
        <v>120</v>
      </c>
      <c r="N1455">
        <v>600</v>
      </c>
    </row>
    <row r="1456">
      <c r="A1456" t="str">
        <v>להכניס לאט ובהדרגה  לפוזור מלא ב12 F</v>
      </c>
      <c r="B1456" s="3" t="str">
        <v>3דקות</v>
      </c>
      <c r="C1456" s="3" t="str">
        <v>Lapinus CF 10</v>
      </c>
      <c r="D1456" s="1">
        <v>0.03</v>
      </c>
      <c r="E1456" s="2">
        <f>(E1460*D1456)</f>
        <v>135</v>
      </c>
      <c r="F1456" t="str">
        <v>קנווד 1-2</v>
      </c>
      <c r="J1456" s="3" t="str">
        <v>5דקות</v>
      </c>
      <c r="K1456" s="3" t="str">
        <v>FR CROS 487</v>
      </c>
      <c r="L1456" s="1">
        <v>0.243</v>
      </c>
      <c r="M1456" s="2">
        <f>(M$1461*L1456)</f>
        <v>243</v>
      </c>
      <c r="N1456">
        <v>600</v>
      </c>
    </row>
    <row r="1457">
      <c r="A1457" t="str">
        <v>הכנס בזרם דק עד להומוגניות  בF 12  לאחר מכן הכנס אגיטן ובסיום המשך 7 דקות ערבול</v>
      </c>
      <c r="C1457" s="3" t="str">
        <v>VINNAPAS EZ 3019</v>
      </c>
      <c r="D1457" s="1">
        <v>0.1545</v>
      </c>
      <c r="E1457" s="2">
        <f>(E1460*D1457)</f>
        <v>695.25</v>
      </c>
      <c r="F1457" t="str">
        <v>קנווד1</v>
      </c>
      <c r="I1457" t="str">
        <v xml:space="preserve">הכנס בזרם דק עד להומוגניות </v>
      </c>
      <c r="K1457" s="3" t="str">
        <v>VINNAPAS EZ 3019</v>
      </c>
      <c r="L1457" s="6">
        <v>0.03</v>
      </c>
      <c r="M1457" s="2">
        <f>(M$1461*L1457)</f>
        <v>30</v>
      </c>
      <c r="N1457">
        <v>600</v>
      </c>
    </row>
    <row r="1458">
      <c r="B1458" s="3" t="str">
        <v>5דקות</v>
      </c>
      <c r="C1458" s="3" t="str">
        <v>Viscotex 730</v>
      </c>
      <c r="D1458" s="1">
        <v>0.0014</v>
      </c>
      <c r="E1458" s="2">
        <f>(E1460*D1458)</f>
        <v>6.3</v>
      </c>
      <c r="F1458" t="str">
        <v>קנווד 1</v>
      </c>
      <c r="I1458" t="str">
        <v xml:space="preserve">להכניס לאט ובהדרגה  לפיזור מלא </v>
      </c>
      <c r="J1458" s="3" t="str">
        <v>3דקות</v>
      </c>
      <c r="K1458" s="3" t="str">
        <v>Lapinus CF 10</v>
      </c>
      <c r="L1458" s="1">
        <v>0.03</v>
      </c>
      <c r="M1458" s="2">
        <f>(M$1461*L1458)</f>
        <v>30</v>
      </c>
      <c r="N1458">
        <v>600</v>
      </c>
    </row>
    <row r="1459">
      <c r="B1459" s="3" t="str">
        <v>10דקות ערבוב איטי</v>
      </c>
      <c r="C1459" s="3" t="str">
        <v>AGITAN 80</v>
      </c>
      <c r="D1459" s="1">
        <v>0.0015</v>
      </c>
      <c r="E1459" s="2">
        <f>(E1460*D1459)</f>
        <v>6.75</v>
      </c>
      <c r="F1459" t="str">
        <v>קנווד 1-min</v>
      </c>
      <c r="I1459" t="str">
        <v>הכנס בזרם דק עד להומוגניות   לאחר מכן הכנס אגיטן ובסיום המשך 7 דקות ערבול</v>
      </c>
      <c r="K1459" s="3" t="str">
        <v>VINNAPAS EZ 3019</v>
      </c>
      <c r="L1459" s="1">
        <v>0.0895</v>
      </c>
      <c r="M1459" s="2">
        <f>(M$1461*L1459)</f>
        <v>89.5</v>
      </c>
      <c r="N1459">
        <v>600</v>
      </c>
    </row>
    <row r="1460">
      <c r="D1460" s="1">
        <f>SUM(D1441:D1459)</f>
        <v>0.9999999999999999</v>
      </c>
      <c r="E1460" s="2">
        <v>4500</v>
      </c>
      <c r="J1460" s="3" t="str">
        <v>3דקות</v>
      </c>
      <c r="K1460" s="3" t="str">
        <v>AGITAN 80</v>
      </c>
      <c r="L1460" s="1">
        <v>0.0015</v>
      </c>
      <c r="M1460" s="2">
        <f>(M$1461*L1460)</f>
        <v>1.5</v>
      </c>
      <c r="N1460">
        <v>600</v>
      </c>
    </row>
    <row r="1461">
      <c r="C1461" s="7">
        <f>SUM(D1446+D1448+D1450+D1451+D1452+D1454+D1455*0.5+D1456+D1457*0.5)</f>
        <v>0.70695</v>
      </c>
      <c r="E1461" s="2">
        <f>SUM(E1441:E1459)</f>
        <v>4500</v>
      </c>
      <c r="L1461" s="1">
        <f>SUM(L1442:L1460)</f>
        <v>1</v>
      </c>
      <c r="M1461" s="2">
        <v>1000</v>
      </c>
    </row>
    <row r="1462">
      <c r="K1462" s="7">
        <f>SUM(L1447+L1449+L1451+L1452+L1453+L1455*0.5+L1456+L1457*0.5+L1458+L1459*0.5)</f>
        <v>0.70865</v>
      </c>
      <c r="M1462" s="2">
        <f>SUM(M1442:M1460)</f>
        <v>1000</v>
      </c>
    </row>
    <row r="1466">
      <c r="A1466" t="str">
        <v xml:space="preserve">   15.10.2024-002   Fresco INTUMESCENT</v>
      </c>
    </row>
    <row r="1467">
      <c r="A1467" t="str">
        <v xml:space="preserve">   על בסיס   095 שינוי סדר הכנסה של האמולסיה Levasil CC401 2.% , 23.95 %VINNAPAS EZ 3019 , טקסנול,Optigel WX  מוצקים ל 70.5% למינעת סדיקה</v>
      </c>
    </row>
    <row r="1468">
      <c r="A1468" t="str">
        <v>הוראות יצור</v>
      </c>
      <c r="B1468" t="str">
        <v xml:space="preserve">שעה - </v>
      </c>
      <c r="D1468" t="str">
        <v>חומר</v>
      </c>
      <c r="E1468" t="str">
        <v>כמות ק''ג</v>
      </c>
      <c r="F1468" t="str">
        <v>מהירות</v>
      </c>
      <c r="G1468" t="str">
        <v>הערות</v>
      </c>
    </row>
    <row r="1469">
      <c r="A1469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469" t="str">
        <v>water</v>
      </c>
      <c r="D1469" s="1">
        <v>0.1396</v>
      </c>
      <c r="E1469" s="2">
        <f>(E$1487*D1469)</f>
        <v>55.84</v>
      </c>
      <c r="F1469">
        <v>200</v>
      </c>
    </row>
    <row r="1470">
      <c r="C1470" t="str">
        <v>Vinkocide CMIF</v>
      </c>
      <c r="D1470" s="1">
        <v>0.002</v>
      </c>
      <c r="E1470" s="2">
        <f>(E$1487*D1470)</f>
        <v>0.8</v>
      </c>
      <c r="F1470">
        <v>200</v>
      </c>
    </row>
    <row r="1471">
      <c r="B1471" t="str">
        <v>1דקה</v>
      </c>
      <c r="C1471" t="str">
        <v>Levasil CC401</v>
      </c>
      <c r="D1471" s="1">
        <v>0.02</v>
      </c>
      <c r="E1471" s="2">
        <f>(E$1487*D1471)</f>
        <v>8</v>
      </c>
      <c r="F1471">
        <v>200</v>
      </c>
    </row>
    <row r="1472">
      <c r="B1472" t="str">
        <v>3דקות</v>
      </c>
      <c r="C1472" t="str">
        <v>OROTAN 731</v>
      </c>
      <c r="D1472" s="1">
        <v>0.002</v>
      </c>
      <c r="E1472" s="2">
        <f>(E$1487*D1472)</f>
        <v>0.8</v>
      </c>
      <c r="F1472">
        <v>330</v>
      </c>
    </row>
    <row r="1473">
      <c r="B1473" t="str">
        <v>1דקה</v>
      </c>
      <c r="C1473" t="str">
        <v>AGITAN 80</v>
      </c>
      <c r="D1473" s="1">
        <v>0.0005</v>
      </c>
      <c r="E1473" s="2">
        <f>(E$1487*D1473)</f>
        <v>0.2</v>
      </c>
      <c r="F1473">
        <v>350</v>
      </c>
    </row>
    <row r="1474">
      <c r="B1474" s="3" t="str">
        <v>3דקות</v>
      </c>
      <c r="C1474" t="str">
        <v>COMBIZELL</v>
      </c>
      <c r="D1474" s="1">
        <v>0.0026</v>
      </c>
      <c r="E1474" s="2">
        <f>(E$1487*D1474)</f>
        <v>1.04</v>
      </c>
      <c r="F1474">
        <v>400</v>
      </c>
    </row>
    <row r="1475">
      <c r="C1475" t="str">
        <v>AGITAN 80</v>
      </c>
      <c r="D1475" s="1">
        <v>0.0005</v>
      </c>
      <c r="E1475" s="2">
        <f>(E$1487*D1475)</f>
        <v>0.2</v>
      </c>
      <c r="F1475">
        <v>520</v>
      </c>
    </row>
    <row r="1476">
      <c r="A1476" t="str">
        <v>וודא שאין קצף ופזר אופטגל ללא גושים- דספרסיה 10 דקות</v>
      </c>
      <c r="B1476" s="3" t="str">
        <v>10 דקות</v>
      </c>
      <c r="C1476" t="str">
        <v>Optigel WX</v>
      </c>
      <c r="D1476" s="1">
        <v>0.0045</v>
      </c>
      <c r="E1476" s="2">
        <f>(E$1487*D1476)</f>
        <v>1.7999999999999998</v>
      </c>
      <c r="F1476">
        <v>1000</v>
      </c>
    </row>
    <row r="1477">
      <c r="C1477" t="str">
        <v>AGITAN 80</v>
      </c>
      <c r="D1477" s="1">
        <v>0.0005</v>
      </c>
      <c r="E1477" s="2">
        <f>(E$1487*D1477)</f>
        <v>0.2</v>
      </c>
      <c r="F1477">
        <v>1100</v>
      </c>
    </row>
    <row r="1478">
      <c r="A1478" t="str">
        <v>הכנס ללא גושים ובסיום דספרסיה 5 דקות  בF 13</v>
      </c>
      <c r="B1478" s="3" t="str">
        <v>5דקות</v>
      </c>
      <c r="C1478" t="str">
        <v>TIONA 826</v>
      </c>
      <c r="D1478" s="1">
        <v>0.116</v>
      </c>
      <c r="E1478" s="2">
        <f>(E$1487*D1478)</f>
        <v>46.400000000000006</v>
      </c>
      <c r="F1478">
        <v>850</v>
      </c>
    </row>
    <row r="1479">
      <c r="A1479" t="str">
        <v>הכנס ללא גושים ובסיום דספרסיה 5 דקות  בF 15</v>
      </c>
      <c r="B1479" s="3" t="str">
        <v>5דקות</v>
      </c>
      <c r="C1479" t="str">
        <v xml:space="preserve"> CHARMOR PM 40</v>
      </c>
      <c r="D1479" s="1">
        <v>0.0964</v>
      </c>
      <c r="E1479" s="2">
        <f>(E$1487*D1479)</f>
        <v>38.56</v>
      </c>
      <c r="F1479">
        <v>850</v>
      </c>
    </row>
    <row r="1480">
      <c r="A1480" t="str">
        <v>הכנס ללא גושים ובסיום דספרסיה 5 דקות  בF 1 מנה י PP-1624</v>
      </c>
      <c r="B1480" s="3" t="str">
        <v>5דקות</v>
      </c>
      <c r="C1480" t="str">
        <v>MELAFINE</v>
      </c>
      <c r="D1480" s="1">
        <v>0.0964</v>
      </c>
      <c r="E1480" s="2">
        <f>(E$1487*D1480)</f>
        <v>38.56</v>
      </c>
      <c r="F1480">
        <v>900</v>
      </c>
    </row>
    <row r="1481">
      <c r="A1481" t="str">
        <v xml:space="preserve">הכנס בזרם דק עד להומוגניות  בF 15 </v>
      </c>
      <c r="C1481" s="3" t="str">
        <v>Texanol</v>
      </c>
      <c r="D1481" s="1">
        <v>0.005</v>
      </c>
      <c r="E1481" s="2">
        <f>(E$1487*D1481)</f>
        <v>2</v>
      </c>
      <c r="F1481">
        <v>600</v>
      </c>
    </row>
    <row r="1482">
      <c r="A1482" t="str">
        <v>הכנס ללא גושים ובסיום דספרסיה במשך 5 דקות . שים לב שלא יתחמם מידי</v>
      </c>
      <c r="C1482" s="3" t="str">
        <v>VINNAPAS EZ 3019</v>
      </c>
      <c r="D1482" s="1">
        <v>0.12</v>
      </c>
      <c r="E1482" s="2">
        <f>(E$1487*D1482)</f>
        <v>48</v>
      </c>
      <c r="F1482">
        <v>600</v>
      </c>
    </row>
    <row r="1483">
      <c r="B1483" s="3" t="str">
        <v>5דקות</v>
      </c>
      <c r="C1483" s="3" t="str">
        <v>FR CROS 487</v>
      </c>
      <c r="D1483" s="1">
        <v>0.243</v>
      </c>
      <c r="E1483" s="2">
        <f>(E$1487*D1483)</f>
        <v>97.2</v>
      </c>
      <c r="F1483">
        <v>300</v>
      </c>
    </row>
    <row r="1484">
      <c r="A1484" t="str">
        <v xml:space="preserve">הכנס בזרם דק עד להומוגניות </v>
      </c>
      <c r="C1484" s="3" t="str">
        <v>VINNAPAS EZ 3019</v>
      </c>
      <c r="D1484" s="6">
        <v>0.1195</v>
      </c>
      <c r="E1484" s="2">
        <f>(E$1487*D1484)</f>
        <v>47.8</v>
      </c>
      <c r="F1484">
        <v>300</v>
      </c>
    </row>
    <row r="1485">
      <c r="A1485" t="str">
        <v xml:space="preserve">להכניס לאט ובהדרגה  לפיזור מלא </v>
      </c>
      <c r="B1485" s="3" t="str">
        <v>3דקות</v>
      </c>
      <c r="C1485" s="3" t="str">
        <v>Lapinus CF 10</v>
      </c>
      <c r="D1485" s="1">
        <v>0.03</v>
      </c>
      <c r="E1485" s="2">
        <f>(E$1487*D1485)</f>
        <v>12</v>
      </c>
      <c r="F1485">
        <v>300</v>
      </c>
    </row>
    <row r="1486">
      <c r="B1486" s="3" t="str">
        <v>3דקות</v>
      </c>
      <c r="C1486" s="3" t="str">
        <v>AGITAN 80</v>
      </c>
      <c r="D1486" s="1">
        <v>0.0015</v>
      </c>
      <c r="E1486" s="2">
        <f>(E$1487*D1486)</f>
        <v>0.6</v>
      </c>
      <c r="F1486">
        <v>300</v>
      </c>
    </row>
    <row r="1487">
      <c r="D1487" s="1">
        <f>SUM(D1469:D1486)</f>
        <v>0.9999999999999999</v>
      </c>
      <c r="E1487" s="2">
        <v>400</v>
      </c>
    </row>
    <row r="1488">
      <c r="C1488" s="7">
        <f>SUM(D1474+D1476+D1478+D1479+D1480+D1482*0.5+D1483+D1484*0.5+D1485)</f>
        <v>0.70865</v>
      </c>
      <c r="E1488" s="2">
        <f>SUM(E1469:E1486)</f>
        <v>400.00000000000006</v>
      </c>
    </row>
    <row r="1494">
      <c r="A1494" t="str">
        <v xml:space="preserve">         03.02.2025-083   Fresco INTUMESCENT</v>
      </c>
    </row>
    <row r="1495">
      <c r="A1495" t="str">
        <v xml:space="preserve">   על בסיס   057   Levasil CC401 3.% , 24.4 %VINNAPAS EZ 3019 , טקסנול,Optigel WX  מוצקים ל 70.5% למינעת סדיקה</v>
      </c>
      <c r="I1495" t="str">
        <v xml:space="preserve">         03.02.2025-084   Fresco INTUMESCENT</v>
      </c>
    </row>
    <row r="1496">
      <c r="A1496" t="str">
        <v>הוראות יצור</v>
      </c>
      <c r="B1496" t="str">
        <v>שעה - הערות</v>
      </c>
      <c r="D1496" t="str">
        <v>חומר</v>
      </c>
      <c r="E1496" t="str">
        <v>כמות ק''ג</v>
      </c>
      <c r="I1496" t="str">
        <v xml:space="preserve">   על בסיס   057   Levasil CC401 3.% , 24.4 %VINNAPAS EZ 3019 , טקסנול,Optigel WX ,Kelzan -Adva מוצקים ל 70.5% למינעת סדיקה</v>
      </c>
    </row>
    <row r="1497">
      <c r="A1497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497" t="str">
        <v>water</v>
      </c>
      <c r="D1497" s="1">
        <v>0.1289</v>
      </c>
      <c r="E1497" s="2">
        <f>(E1514*D1497)</f>
        <v>128.89999999999998</v>
      </c>
      <c r="I1497" t="str">
        <v>הוראות יצור</v>
      </c>
      <c r="J1497" t="str">
        <v>שעה - הערות</v>
      </c>
      <c r="L1497" t="str">
        <v>חומר</v>
      </c>
      <c r="M1497" t="str">
        <v>כמות ק''ג</v>
      </c>
    </row>
    <row r="1498">
      <c r="C1498" t="str">
        <v>Vinkocide CMIF</v>
      </c>
      <c r="D1498" s="1">
        <v>0.002</v>
      </c>
      <c r="E1498" s="2">
        <f>(E1514*D1498)</f>
        <v>2</v>
      </c>
      <c r="I1498" t="str">
        <v xml:space="preserve">הכנס חומרים לאט ופזר היטב.   עבוד במהירות בF4    הכנס אגיטן מיד אחרי אורוטן והפעל 3 דקות דספרסיה.          וודא שאין קצף לפני המעבר לשלב הבא.            הכנס אגיטן מיד אחרי קומביזל והפעל 3 דקות דספרסיה.             </v>
      </c>
      <c r="K1498" t="str">
        <v>water</v>
      </c>
      <c r="L1498" s="1">
        <v>0.1289</v>
      </c>
      <c r="M1498" s="2">
        <f>(M1515*L1498)</f>
        <v>128.89999999999998</v>
      </c>
    </row>
    <row r="1499">
      <c r="C1499" t="str">
        <v>Levasil CC401</v>
      </c>
      <c r="D1499" s="1">
        <v>0.03</v>
      </c>
      <c r="E1499" s="2">
        <f>(E1514*D1499)</f>
        <v>30</v>
      </c>
      <c r="K1499" t="str">
        <v>Vinkocide CMIF</v>
      </c>
      <c r="L1499" s="1">
        <v>0.002</v>
      </c>
      <c r="M1499" s="2">
        <f>(M1515*L1499)</f>
        <v>2</v>
      </c>
    </row>
    <row r="1500">
      <c r="C1500" t="str">
        <v>OROTAN 731</v>
      </c>
      <c r="D1500" s="1">
        <v>0.002</v>
      </c>
      <c r="E1500" s="2">
        <f>(E1514*D1500)</f>
        <v>2</v>
      </c>
      <c r="K1500" t="str">
        <v>Levasil CC401</v>
      </c>
      <c r="L1500" s="1">
        <v>0.03</v>
      </c>
      <c r="M1500" s="2">
        <f>(M1515*L1500)</f>
        <v>30</v>
      </c>
    </row>
    <row r="1501">
      <c r="C1501" t="str">
        <v>AGITAN 80</v>
      </c>
      <c r="D1501" s="1">
        <v>0.0005</v>
      </c>
      <c r="E1501" s="2">
        <f>(E1514*D1501)</f>
        <v>0.5</v>
      </c>
      <c r="K1501" t="str">
        <v>OROTAN 731</v>
      </c>
      <c r="L1501" s="1">
        <v>0.002</v>
      </c>
      <c r="M1501" s="2">
        <f>(M1515*L1501)</f>
        <v>2</v>
      </c>
    </row>
    <row r="1502">
      <c r="C1502" t="str">
        <v>COMBIZELL</v>
      </c>
      <c r="D1502" s="1">
        <v>0.0025</v>
      </c>
      <c r="E1502" s="2">
        <f>(E1514*D1502)</f>
        <v>2.5</v>
      </c>
      <c r="K1502" t="str">
        <v>AGITAN 80</v>
      </c>
      <c r="L1502" s="1">
        <v>0.0005</v>
      </c>
      <c r="M1502" s="2">
        <f>(M1515*L1502)</f>
        <v>0.5</v>
      </c>
    </row>
    <row r="1503">
      <c r="C1503" t="str">
        <v>AGITAN 80</v>
      </c>
      <c r="D1503" s="1">
        <v>0.001</v>
      </c>
      <c r="E1503" s="2">
        <f>(E1514*D1503)</f>
        <v>1</v>
      </c>
      <c r="K1503" t="str">
        <v>Kelzan -Adva</v>
      </c>
      <c r="L1503" s="1">
        <v>0.0025</v>
      </c>
      <c r="M1503" s="2">
        <f>(M1515*L1503)</f>
        <v>2.5</v>
      </c>
    </row>
    <row r="1504">
      <c r="A1504" t="str">
        <v>וודא שאין קצף ופזר אופטגל ללא גושים</v>
      </c>
      <c r="C1504" t="str">
        <v>Optigel WX</v>
      </c>
      <c r="D1504" s="1">
        <v>0.001</v>
      </c>
      <c r="E1504" s="2">
        <f>(E1514*D1504)</f>
        <v>1</v>
      </c>
      <c r="K1504" t="str">
        <v>AGITAN 80</v>
      </c>
      <c r="L1504" s="1">
        <v>0.001</v>
      </c>
      <c r="M1504" s="2">
        <f>(M1515*L1504)</f>
        <v>1</v>
      </c>
    </row>
    <row r="1505">
      <c r="A1505" t="str">
        <v>הכנס ללא גושים ובסיום דספרסיה 5 דקות  בF 13</v>
      </c>
      <c r="C1505" t="str">
        <v>TIONA 826</v>
      </c>
      <c r="D1505" s="1">
        <v>0.117</v>
      </c>
      <c r="E1505" s="2">
        <f>(E1514*D1505)</f>
        <v>117</v>
      </c>
      <c r="I1505" t="str">
        <v>וודא שאין קצף ופזר אופטגל ללא גושים</v>
      </c>
      <c r="K1505" t="str">
        <v>Optigel WX</v>
      </c>
      <c r="L1505" s="1">
        <v>0.001</v>
      </c>
      <c r="M1505" s="2">
        <f>(M1515*L1505)</f>
        <v>1</v>
      </c>
    </row>
    <row r="1506">
      <c r="A1506" t="str">
        <v>הכנס ללא גושים ובסיום דספרסיה 5 דקות  בF 15</v>
      </c>
      <c r="C1506" t="str">
        <v xml:space="preserve"> CHARMOR PM 40</v>
      </c>
      <c r="D1506" s="1">
        <v>0.0973</v>
      </c>
      <c r="E1506" s="2">
        <f>(E1514*D1506)</f>
        <v>97.3</v>
      </c>
      <c r="I1506" t="str">
        <v>הכנס ללא גושים ובסיום דספרסיה 2 דקות  בF 13</v>
      </c>
      <c r="K1506" t="str">
        <v>TIONA 826</v>
      </c>
      <c r="L1506" s="1">
        <v>0.117</v>
      </c>
      <c r="M1506" s="2">
        <f>(M1515*L1506)</f>
        <v>117</v>
      </c>
    </row>
    <row r="1507">
      <c r="A1507" t="str">
        <v>הכנס ללא גושים ובסיום דספרסיה 5 דקות  בF 1 מנה י PP-1624</v>
      </c>
      <c r="C1507" t="str">
        <v>MELAFINE</v>
      </c>
      <c r="D1507" s="1">
        <v>0.0973</v>
      </c>
      <c r="E1507" s="2">
        <f>(E1514*D1507)</f>
        <v>97.3</v>
      </c>
      <c r="I1507" t="str">
        <v>הכנס ללא גושים ובסיום דספרסיה 2 דקות  בF 15</v>
      </c>
      <c r="K1507" t="str">
        <v xml:space="preserve"> CHARMOR PM 40</v>
      </c>
      <c r="L1507" s="1">
        <v>0.0973</v>
      </c>
      <c r="M1507" s="2">
        <f>(M1515*L1507)</f>
        <v>97.3</v>
      </c>
    </row>
    <row r="1508">
      <c r="A1508" t="str">
        <v xml:space="preserve">הכנס בזרם דק עד להומוגניות  בF 15 </v>
      </c>
      <c r="C1508" s="3" t="str">
        <v>Texanol</v>
      </c>
      <c r="D1508" s="1">
        <v>0.005</v>
      </c>
      <c r="E1508" s="2">
        <f>(E1514*D1508)</f>
        <v>5</v>
      </c>
      <c r="I1508" t="str">
        <v>הכנס ללא גושים ובסיום דספרסיה 2 דקות  בF 16.3 מנה  PP-1624</v>
      </c>
      <c r="K1508" t="str">
        <v>MELAFINE</v>
      </c>
      <c r="L1508" s="1">
        <v>0.0973</v>
      </c>
      <c r="M1508" s="2">
        <f>(M1515*L1508)</f>
        <v>97.3</v>
      </c>
    </row>
    <row r="1509" ht="27.600000000000005" customHeight="1">
      <c r="A1509" t="str">
        <v>הכנס ללא גושים  ב F18 עליה ל F21 ובסיום דספרסיה במשך 5 דקות . שים לב שלא יתחמם מידי</v>
      </c>
      <c r="C1509" s="3" t="str">
        <v>FR CROS 487</v>
      </c>
      <c r="D1509" s="1">
        <v>0.244</v>
      </c>
      <c r="E1509" s="2">
        <f>(E1514*D1509)</f>
        <v>244</v>
      </c>
      <c r="I1509" t="str">
        <v xml:space="preserve">הכנס בזרם דק עד להומוגניות  בF 10 </v>
      </c>
      <c r="K1509" s="3" t="str">
        <v>Texanol</v>
      </c>
      <c r="L1509" s="1">
        <v>0.005</v>
      </c>
      <c r="M1509" s="2">
        <f>(M1515*L1509)</f>
        <v>5</v>
      </c>
    </row>
    <row r="1510" ht="27.600000000000005" customHeight="1">
      <c r="A1510" t="str">
        <v xml:space="preserve">הכנס בזרם דק עד להומוגניות </v>
      </c>
      <c r="C1510" s="3" t="str">
        <v>VINNAPAS EZ 3019</v>
      </c>
      <c r="D1510" s="6">
        <v>0.085</v>
      </c>
      <c r="E1510" s="2">
        <f>(E1514*D1510)</f>
        <v>85</v>
      </c>
      <c r="I1510" t="str">
        <v>הכנס ללא גושים  ב F16 ובסיום דספרסיה במשך 5 דקות . שים לב שלא יתחמם מידי</v>
      </c>
      <c r="K1510" s="3" t="str">
        <v>FR CROS 487</v>
      </c>
      <c r="L1510" s="1">
        <v>0.244</v>
      </c>
      <c r="M1510" s="2">
        <f>(M1515*L1510)</f>
        <v>244</v>
      </c>
    </row>
    <row r="1511">
      <c r="A1511" t="str">
        <v>להכניס לאט ובהדרגה  לפוזור מלא ב12 F</v>
      </c>
      <c r="C1511" s="3" t="str">
        <v>Lapinus CF 10</v>
      </c>
      <c r="D1511" s="1">
        <v>0.03</v>
      </c>
      <c r="E1511" s="2">
        <f>(E1514*D1511)</f>
        <v>30</v>
      </c>
      <c r="I1511" t="str">
        <v>הכנס בזרם דק עד להומוגניות F14</v>
      </c>
      <c r="K1511" s="3" t="str">
        <v>VINNAPAS EZ 3019</v>
      </c>
      <c r="L1511" s="6">
        <v>0.085</v>
      </c>
      <c r="M1511" s="2">
        <f>(M1515*L1511)</f>
        <v>85</v>
      </c>
    </row>
    <row r="1512">
      <c r="A1512" t="str">
        <v>הכנס בזרם דק עד להומוגניות  בF 12  לאחר מכן הכנס אגיטן ובסיום המשך 7 דקות ערבול</v>
      </c>
      <c r="C1512" s="3" t="str">
        <v>VINNAPAS EZ 3019</v>
      </c>
      <c r="D1512" s="1">
        <v>0.155</v>
      </c>
      <c r="E1512" s="2">
        <f>(E1514*D1512)</f>
        <v>155</v>
      </c>
      <c r="I1512" t="str">
        <v>להכניס לאט ובהדרגה  לפוזור מלא ב10.5 F</v>
      </c>
      <c r="K1512" s="3" t="str">
        <v>Lapinus CF 10</v>
      </c>
      <c r="L1512" s="1">
        <v>0.03</v>
      </c>
      <c r="M1512" s="2">
        <f>(M1515*L1512)</f>
        <v>30</v>
      </c>
    </row>
    <row r="1513">
      <c r="C1513" s="3" t="str">
        <v>AGITAN 80</v>
      </c>
      <c r="D1513" s="1">
        <v>0.0015</v>
      </c>
      <c r="E1513" s="2">
        <f>(E1514*D1513)</f>
        <v>1.5</v>
      </c>
      <c r="I1513" t="str">
        <v>הכנס בזרם דק עד להומוגניות  בF 18  לאחר מכן הכנס אגיטן ובסיום המשך5 דקות ערבול</v>
      </c>
      <c r="K1513" s="3" t="str">
        <v>VINNAPAS EZ 3019</v>
      </c>
      <c r="L1513" s="1">
        <v>0.155</v>
      </c>
      <c r="M1513" s="2">
        <f>(M1515*L1513)</f>
        <v>155</v>
      </c>
    </row>
    <row r="1514">
      <c r="D1514" s="4">
        <f>SUM(D1497:D1513)</f>
        <v>0.9999999999999999</v>
      </c>
      <c r="E1514" s="2">
        <v>1000</v>
      </c>
      <c r="K1514" s="3" t="str">
        <v>AGITAN 80</v>
      </c>
      <c r="L1514" s="1">
        <v>0.0015</v>
      </c>
      <c r="M1514" s="2">
        <f>(M1515*L1514)</f>
        <v>1.5</v>
      </c>
    </row>
    <row r="1515">
      <c r="C1515" s="7">
        <f>SUM(D1502+D1504+D1505+D1506+D1507+D1509+D1510*0.5+D1511+D1512*0.5)</f>
        <v>0.7091</v>
      </c>
      <c r="E1515" s="2">
        <f>SUM(E1497:E1513)</f>
        <v>1000</v>
      </c>
      <c r="L1515" s="4">
        <f>SUM(L1498:L1514)</f>
        <v>0.9999999999999999</v>
      </c>
      <c r="M1515" s="2">
        <v>1000</v>
      </c>
    </row>
    <row r="1516">
      <c r="M1516" s="2">
        <f>SUM(M1498:M1514)</f>
        <v>1000</v>
      </c>
    </row>
    <row r="1520">
      <c r="A1520" t="str">
        <v xml:space="preserve">       03.02.2025-085   Fresco INTUMESCENT</v>
      </c>
      <c r="I1520" t="str">
        <v xml:space="preserve">     03.02.2025-086   Fresco INTUMESCENT</v>
      </c>
    </row>
    <row r="1521">
      <c r="A1521" t="str">
        <v xml:space="preserve">   על בסיס   057   Levasil CC401 3.% , 24.4 %VINNAPAS EZ 3019 , טקסנול,Optigel WX  מוצקים ל 70.65% למינעת סדיקה</v>
      </c>
      <c r="I1521" t="str">
        <v xml:space="preserve">   על בסיס   057 083   Levasil CC401 3.% , 24.4 %VINNAPAS EZ 3019 , טקסנול,Optigel WX  מוצקים ל 70.5% למינעת סדיקה</v>
      </c>
    </row>
    <row r="1522">
      <c r="A1522" t="str">
        <v>הוראות יצור</v>
      </c>
      <c r="B1522" t="str">
        <v>שעה - הערות</v>
      </c>
      <c r="D1522" t="str">
        <v>חומר</v>
      </c>
      <c r="E1522" t="str">
        <v>כמות ק''ג</v>
      </c>
      <c r="I1522" t="str">
        <v>הוראות יצור</v>
      </c>
      <c r="J1522" t="str">
        <v>שעה - הערות</v>
      </c>
      <c r="L1522" t="str">
        <v>חומר</v>
      </c>
      <c r="M1522" t="str">
        <v>כמות ק''ג</v>
      </c>
    </row>
    <row r="1523">
      <c r="A1523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523" t="str">
        <v>water</v>
      </c>
      <c r="D1523" s="1">
        <v>0.1291</v>
      </c>
      <c r="E1523" s="2">
        <f>(E$1540*D1523)</f>
        <v>129.1</v>
      </c>
      <c r="I1523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K1523" t="str">
        <v>water</v>
      </c>
      <c r="L1523" s="1">
        <v>0.1296</v>
      </c>
      <c r="M1523" s="2">
        <f>(M1540*L1523)</f>
        <v>129.6</v>
      </c>
    </row>
    <row r="1524">
      <c r="C1524" t="str">
        <v>Vinkocide CMIF</v>
      </c>
      <c r="D1524" s="1">
        <v>0.002</v>
      </c>
      <c r="E1524" s="2">
        <f>(E$1540*D1524)</f>
        <v>2</v>
      </c>
      <c r="K1524" t="str">
        <v>Vinkocide CMIF</v>
      </c>
      <c r="L1524" s="1">
        <v>0.002</v>
      </c>
      <c r="M1524" s="2">
        <f>(M1540*L1524)</f>
        <v>2</v>
      </c>
    </row>
    <row r="1525">
      <c r="C1525" t="str">
        <v>Levasil CC401</v>
      </c>
      <c r="D1525" s="1">
        <v>0.03</v>
      </c>
      <c r="E1525" s="2">
        <f>(E$1540*D1525)</f>
        <v>30</v>
      </c>
      <c r="K1525" t="str">
        <v>Levasil CC401</v>
      </c>
      <c r="L1525" s="1">
        <v>0.03</v>
      </c>
      <c r="M1525" s="2">
        <f>(M1540*L1525)</f>
        <v>30</v>
      </c>
    </row>
    <row r="1526">
      <c r="C1526" t="str">
        <v>OROTAN 731</v>
      </c>
      <c r="D1526" s="1">
        <v>0.0021</v>
      </c>
      <c r="E1526" s="2">
        <f>(E$1540*D1526)</f>
        <v>2.1</v>
      </c>
      <c r="K1526" t="str">
        <v>OROTAN 731</v>
      </c>
      <c r="L1526" s="1">
        <v>0.002</v>
      </c>
      <c r="M1526" s="2">
        <f>(M1540*L1526)</f>
        <v>2</v>
      </c>
    </row>
    <row r="1527">
      <c r="C1527" t="str">
        <v>AGITAN 80</v>
      </c>
      <c r="D1527" s="1">
        <v>0.0005</v>
      </c>
      <c r="E1527" s="2">
        <f>(E$1540*D1527)</f>
        <v>0.5</v>
      </c>
      <c r="K1527" t="str">
        <v>AGITAN 80</v>
      </c>
      <c r="L1527" s="1">
        <v>0.0005</v>
      </c>
      <c r="M1527" s="2">
        <f>(M1540*L1527)</f>
        <v>0.5</v>
      </c>
    </row>
    <row r="1528">
      <c r="C1528" t="str">
        <v>COMBIZELL</v>
      </c>
      <c r="D1528" s="1">
        <v>0.0023</v>
      </c>
      <c r="E1528" s="2">
        <f>(E$1540*D1528)</f>
        <v>2.3</v>
      </c>
      <c r="K1528" t="str">
        <v>COMBIZELL</v>
      </c>
      <c r="L1528" s="1">
        <v>0.0025</v>
      </c>
      <c r="M1528" s="2">
        <f>(M1540*L1528)</f>
        <v>2.5</v>
      </c>
    </row>
    <row r="1529">
      <c r="C1529" t="str">
        <v>AGITAN 80</v>
      </c>
      <c r="D1529" s="1">
        <v>0.001</v>
      </c>
      <c r="E1529" s="2">
        <f>(E$1540*D1529)</f>
        <v>1</v>
      </c>
      <c r="K1529" t="str">
        <v>AGITAN 80</v>
      </c>
      <c r="L1529" s="1">
        <v>0.001</v>
      </c>
      <c r="M1529" s="2">
        <f>(M1540*L1529)</f>
        <v>1</v>
      </c>
    </row>
    <row r="1530">
      <c r="A1530" t="str">
        <v>וודא שאין קצף ופזר אופטגל ללא גושים</v>
      </c>
      <c r="C1530" t="str">
        <v>Optigel WX</v>
      </c>
      <c r="D1530" s="1">
        <v>0.0015</v>
      </c>
      <c r="E1530" s="2">
        <f>(E$1540*D1530)</f>
        <v>1.5</v>
      </c>
      <c r="I1530" t="str">
        <v>וודא שאין קצף ופזר אופטגל ללא גושים</v>
      </c>
      <c r="K1530" t="str">
        <v>Optigel WX</v>
      </c>
      <c r="L1530" s="1">
        <v>0.0015</v>
      </c>
      <c r="M1530" s="2">
        <f>(M1540*L1530)</f>
        <v>1.5</v>
      </c>
    </row>
    <row r="1531">
      <c r="A1531" t="str">
        <v>הכנס ללא גושים ובסיום דספרסיה 5 דקות  בF 13</v>
      </c>
      <c r="C1531" t="str">
        <v>TIONA 826</v>
      </c>
      <c r="D1531" s="1">
        <v>0.117</v>
      </c>
      <c r="E1531" s="2">
        <f>(E$1540*D1531)</f>
        <v>117</v>
      </c>
      <c r="I1531" t="str">
        <v>הכנס ללא גושים ובסיום דספרסיה 5 דקות  בF 13</v>
      </c>
      <c r="K1531" t="str">
        <v>TIONA 826</v>
      </c>
      <c r="L1531" s="1">
        <v>0.117</v>
      </c>
      <c r="M1531" s="2">
        <f>(M1540*L1531)</f>
        <v>117</v>
      </c>
    </row>
    <row r="1532">
      <c r="A1532" t="str">
        <v>הכנס ללא גושים ובסיום דספרסיה 5 דקות  בF 15</v>
      </c>
      <c r="C1532" t="str">
        <v xml:space="preserve"> CHARMOR PM 40</v>
      </c>
      <c r="D1532" s="1">
        <v>0.097</v>
      </c>
      <c r="E1532" s="2">
        <f>(E$1540*D1532)</f>
        <v>97</v>
      </c>
      <c r="I1532" t="str">
        <v>הכנס ללא גושים ובסיום דספרסיה 5 דקות  בF 15</v>
      </c>
      <c r="K1532" t="str">
        <v xml:space="preserve"> CHARMOR PM 40</v>
      </c>
      <c r="L1532" s="1">
        <v>0.0971</v>
      </c>
      <c r="M1532" s="2">
        <f>(M1540*L1532)</f>
        <v>97.10000000000001</v>
      </c>
    </row>
    <row r="1533">
      <c r="A1533" t="str">
        <v>הכנס ללא גושים ובסיום דספרסיה 5 דקות  בF 1 מנה י PP-1624</v>
      </c>
      <c r="C1533" t="str">
        <v>MELAFINE</v>
      </c>
      <c r="D1533" s="1">
        <v>0.097</v>
      </c>
      <c r="E1533" s="2">
        <f>(E$1540*D1533)</f>
        <v>97</v>
      </c>
      <c r="I1533" t="str">
        <v>הכנס ללא גושים ובסיום דספרסיה 5 דקות  בF 1 מנה י PP-1624</v>
      </c>
      <c r="K1533" t="str">
        <v>MELAFINE</v>
      </c>
      <c r="L1533" s="1">
        <v>0.0971</v>
      </c>
      <c r="M1533" s="2">
        <f>(M1540*L1533)</f>
        <v>97.10000000000001</v>
      </c>
    </row>
    <row r="1534">
      <c r="A1534" t="str">
        <v xml:space="preserve">הכנס בזרם דק עד להומוגניות  בF 15 </v>
      </c>
      <c r="C1534" s="3" t="str">
        <v>Texanol</v>
      </c>
      <c r="D1534" s="1">
        <v>0.005</v>
      </c>
      <c r="E1534" s="2">
        <f>(E$1540*D1534)</f>
        <v>5</v>
      </c>
      <c r="I1534" t="str">
        <v xml:space="preserve">הכנס בזרם דק עד להומוגניות  בF 15 </v>
      </c>
      <c r="K1534" s="3" t="str">
        <v>Texanol</v>
      </c>
      <c r="L1534" s="1">
        <v>0.005</v>
      </c>
      <c r="M1534" s="2">
        <f>(M1540*L1534)</f>
        <v>5</v>
      </c>
    </row>
    <row r="1535" ht="27.600000000000005" customHeight="1">
      <c r="A1535" t="str">
        <v>הכנס ללא גושים  ב F18 עליה ל F21 ובסיום דספרסיה במשך 5 דקות . שים לב שלא יתחמם מידי</v>
      </c>
      <c r="C1535" s="3" t="str">
        <v>FR CROS 487</v>
      </c>
      <c r="D1535" s="1">
        <v>0.244</v>
      </c>
      <c r="E1535" s="2">
        <f>(E$1540*D1535)</f>
        <v>244</v>
      </c>
      <c r="I1535" t="str">
        <v>הכנס ללא גושים  ב F18 עליה ל F21 ובסיום דספרסיה במשך 5 דקות . שים לב שלא יתחמם מידי</v>
      </c>
      <c r="K1535" s="3" t="str">
        <v>FR CROS 487</v>
      </c>
      <c r="L1535" s="1">
        <v>0.2437</v>
      </c>
      <c r="M1535" s="2">
        <f>(M1540*L1535)</f>
        <v>243.7</v>
      </c>
    </row>
    <row r="1536">
      <c r="A1536" t="str">
        <v xml:space="preserve">הכנס בזרם דק עד להומוגניות </v>
      </c>
      <c r="C1536" s="3" t="str">
        <v>VINNAPAS EZ 3019</v>
      </c>
      <c r="D1536" s="6">
        <v>0.085</v>
      </c>
      <c r="E1536" s="2">
        <f>(E$1540*D1536)</f>
        <v>85</v>
      </c>
      <c r="I1536" t="str">
        <v xml:space="preserve">הכנס בזרם דק עד להומוגניות </v>
      </c>
      <c r="K1536" s="3" t="str">
        <v>VINNAPAS EZ 3019</v>
      </c>
      <c r="L1536" s="6">
        <v>0.085</v>
      </c>
      <c r="M1536" s="2">
        <f>(M1540*L1536)</f>
        <v>85</v>
      </c>
    </row>
    <row r="1537">
      <c r="A1537" t="str">
        <v>להכניס לאט ובהדרגה  לפוזור מלא ב12 F</v>
      </c>
      <c r="C1537" s="3" t="str">
        <v>Lapinus CF 10</v>
      </c>
      <c r="D1537" s="1">
        <v>0.03</v>
      </c>
      <c r="E1537" s="2">
        <f>(E$1540*D1537)</f>
        <v>30</v>
      </c>
      <c r="I1537" t="str">
        <v>להכניס לאט ובהדרגה  לפוזור מלא ב12 F</v>
      </c>
      <c r="K1537" s="3" t="str">
        <v>Lapinus CF 10</v>
      </c>
      <c r="L1537" s="1">
        <v>0.03</v>
      </c>
      <c r="M1537" s="2">
        <f>(M1540*L1537)</f>
        <v>30</v>
      </c>
    </row>
    <row r="1538">
      <c r="A1538" t="str">
        <v>הכנס בזרם דק עד להומוגניות  בF 12  לאחר מכן הכנס אגיטן ובסיום המשך 7 דקות ערבול</v>
      </c>
      <c r="C1538" s="3" t="str">
        <v>VINNAPAS EZ 3019</v>
      </c>
      <c r="D1538" s="1">
        <v>0.155</v>
      </c>
      <c r="E1538" s="2">
        <f>(E$1540*D1538)</f>
        <v>155</v>
      </c>
      <c r="I1538" t="str">
        <v>הכנס בזרם דק עד להומוגניות  בF 12  לאחר מכן הכנס אגיטן ובסיום המשך 7 דקות ערבול</v>
      </c>
      <c r="K1538" s="3" t="str">
        <v>VINNAPAS EZ 3019</v>
      </c>
      <c r="L1538" s="1">
        <v>0.1545</v>
      </c>
      <c r="M1538" s="2">
        <f>(M1540*L1538)</f>
        <v>154.5</v>
      </c>
    </row>
    <row r="1539">
      <c r="C1539" s="3" t="str">
        <v>AGITAN 80</v>
      </c>
      <c r="D1539" s="1">
        <v>0.0015</v>
      </c>
      <c r="E1539" s="2">
        <f>(E$1540*D1539)</f>
        <v>1.5</v>
      </c>
      <c r="K1539" s="3" t="str">
        <v>AGITAN 80</v>
      </c>
      <c r="L1539" s="1">
        <v>0.0015</v>
      </c>
      <c r="M1539" s="2">
        <f>(M1540*L1539)</f>
        <v>1.5</v>
      </c>
    </row>
    <row r="1540">
      <c r="D1540" s="4">
        <f>SUM(D1523:D1539)</f>
        <v>0.9999999999999999</v>
      </c>
      <c r="E1540" s="2">
        <v>1000</v>
      </c>
      <c r="L1540" s="4">
        <f>SUM(L1523:L1539)</f>
        <v>1</v>
      </c>
      <c r="M1540" s="2">
        <v>1000</v>
      </c>
    </row>
    <row r="1541">
      <c r="K1541" s="7">
        <f>SUM(L1528+L1530+L1531+L1532+L1533+L1535+L1536*0.5+L1537+L1538*0.5)</f>
        <v>0.7086500000000001</v>
      </c>
      <c r="M1541" s="2">
        <f>SUM(M1523:M1539)</f>
        <v>1000</v>
      </c>
    </row>
    <row r="1544">
      <c r="A1544" t="str">
        <v xml:space="preserve">       03.02.2025-087   Fresco INTUMESCENT</v>
      </c>
    </row>
    <row r="1545">
      <c r="A1545" t="str">
        <v xml:space="preserve">   על בסיס   057 086   Levasil CC401 3.% , 24.4 %VINNAPAS EZ 3019 , טקסנול,Optigel WX  מוצקים ל 70.5% למינעת סדיקה</v>
      </c>
      <c r="I1545" t="str">
        <v xml:space="preserve">          10.04.2025-044     Fresco INTUMESCENT</v>
      </c>
    </row>
    <row r="1546" ht="25.5" customHeight="1">
      <c r="A1546" t="str">
        <v>הוראות יצור</v>
      </c>
      <c r="B1546" t="str">
        <v>שעה - הערות</v>
      </c>
      <c r="D1546" t="str">
        <v>חומר</v>
      </c>
      <c r="E1546" t="str">
        <v>כמות ק''ג</v>
      </c>
      <c r="F1546" t="str">
        <v>מהירות</v>
      </c>
      <c r="I1546" t="str">
        <v xml:space="preserve">על בסיס   034   VINNAPAS EZ 3112 הקטנת ל2% CC401, </v>
      </c>
    </row>
    <row r="1547">
      <c r="A1547" t="str">
        <v xml:space="preserve">הכנס חומרים לאט ופזר היטב.    עבוד במהירות בF5.6                  הכנס אגיטן מיד אחרי אורוטן והפעל 3 דקות דספרסיה.                  וודא שאין קצף לפני המעבר לשלב הבא.                                 הכנס אגיטן מיד אחרי קומביזל והפעל 3 דקות דספרסיה.             </v>
      </c>
      <c r="C1547" t="str">
        <v>water</v>
      </c>
      <c r="D1547" s="1">
        <v>0.1296</v>
      </c>
      <c r="E1547" s="2">
        <f>(E1565*D1547)</f>
        <v>129.6</v>
      </c>
      <c r="F1547">
        <v>200</v>
      </c>
      <c r="I1547" t="str">
        <v>הוראות יצור</v>
      </c>
      <c r="J1547" t="str">
        <v>שעה - הערות</v>
      </c>
      <c r="L1547" t="str">
        <v>חומר</v>
      </c>
      <c r="M1547" t="str">
        <v>כמות ק''ג</v>
      </c>
    </row>
    <row r="1548" ht="13.800000000000002" customHeight="1">
      <c r="C1548" t="str">
        <v>Vinkocide CMIF</v>
      </c>
      <c r="D1548" s="1">
        <v>0.002</v>
      </c>
      <c r="E1548" s="2">
        <f>(E1565*D1548)</f>
        <v>2</v>
      </c>
      <c r="I1548" t="str">
        <v>הכנס חומרים לאט ופזר היטב. הפעל 5 דקות דספרסיה בין הכנסת כל חומר. וודא שאין קצף לפני המעבר לשלב הבא. עבוד במהירות בF10</v>
      </c>
      <c r="K1548" t="str">
        <v>water</v>
      </c>
      <c r="L1548" s="1">
        <v>0.1553</v>
      </c>
      <c r="M1548" s="2">
        <f>(M$1564*L1548)</f>
        <v>465.9</v>
      </c>
    </row>
    <row r="1549">
      <c r="B1549" t="str">
        <v>1דקה</v>
      </c>
      <c r="C1549" t="str">
        <v>Levasil CC401</v>
      </c>
      <c r="D1549" s="1">
        <v>0.03</v>
      </c>
      <c r="E1549" s="2">
        <f>(E1565*D1549)</f>
        <v>30</v>
      </c>
      <c r="K1549" t="str">
        <v>Levasil CC401</v>
      </c>
      <c r="L1549" s="1">
        <v>0.02</v>
      </c>
      <c r="M1549" s="2">
        <f>(M$1564*L1549)</f>
        <v>60</v>
      </c>
    </row>
    <row r="1550">
      <c r="C1550" t="str">
        <v>OROTAN 731</v>
      </c>
      <c r="D1550" s="1">
        <v>0.002</v>
      </c>
      <c r="E1550" s="2">
        <f>(E1565*D1550)</f>
        <v>2</v>
      </c>
      <c r="K1550" t="str">
        <v>OROTAN 731</v>
      </c>
      <c r="L1550" s="4">
        <v>0.0016</v>
      </c>
      <c r="M1550" s="2">
        <f>(M$1564*L1550)</f>
        <v>4.8</v>
      </c>
    </row>
    <row r="1551">
      <c r="B1551" t="str">
        <v>1דקה</v>
      </c>
      <c r="C1551" t="str">
        <v>AGITAN 80</v>
      </c>
      <c r="D1551" s="1">
        <v>0.0005</v>
      </c>
      <c r="E1551" s="2">
        <f>(E1565*D1551)</f>
        <v>0.5</v>
      </c>
      <c r="F1551">
        <v>230</v>
      </c>
      <c r="K1551" t="str">
        <v>AGITAN 80</v>
      </c>
      <c r="L1551" s="4">
        <v>0.001</v>
      </c>
      <c r="M1551" s="2">
        <f>(M$1564*L1551)</f>
        <v>3</v>
      </c>
    </row>
    <row r="1552">
      <c r="C1552" t="str">
        <v>COMBIZELL</v>
      </c>
      <c r="D1552" s="1">
        <v>0.0025</v>
      </c>
      <c r="E1552" s="2">
        <f>(E1565*D1552)</f>
        <v>2.5</v>
      </c>
      <c r="F1552">
        <v>400</v>
      </c>
      <c r="K1552" t="str">
        <v>Biocide CMIF</v>
      </c>
      <c r="L1552" s="1">
        <v>0.002</v>
      </c>
      <c r="M1552" s="2">
        <f>(M$1564*L1552)</f>
        <v>6</v>
      </c>
    </row>
    <row r="1553">
      <c r="C1553" t="str">
        <v>AGITAN 80</v>
      </c>
      <c r="D1553" s="1">
        <v>0.0005</v>
      </c>
      <c r="E1553" s="2">
        <f>(E1565*D1553)</f>
        <v>0.5</v>
      </c>
      <c r="K1553" t="str">
        <v>COMBIZELL</v>
      </c>
      <c r="L1553" s="1">
        <v>0.0019</v>
      </c>
      <c r="M1553" s="2">
        <f>(M$1564*L1553)</f>
        <v>5.7</v>
      </c>
    </row>
    <row r="1554">
      <c r="A1554" t="str">
        <v>וודא שאין קצף ופזר אופטגל ללא גושים</v>
      </c>
      <c r="C1554" t="str">
        <v>Optigel WX</v>
      </c>
      <c r="D1554" s="1">
        <v>0.0015</v>
      </c>
      <c r="E1554" s="2">
        <f>(E1565*D1554)</f>
        <v>1.5</v>
      </c>
      <c r="F1554">
        <v>1062</v>
      </c>
      <c r="K1554" t="str">
        <v>AGITAN 80</v>
      </c>
      <c r="L1554" s="1">
        <v>0.001</v>
      </c>
      <c r="M1554" s="2">
        <f>(M$1564*L1554)</f>
        <v>3</v>
      </c>
    </row>
    <row r="1555">
      <c r="C1555" t="str">
        <v>AGITAN 80</v>
      </c>
      <c r="D1555" s="1">
        <v>0.0005</v>
      </c>
      <c r="E1555" s="2">
        <f>(E1565*D1555)</f>
        <v>0.5</v>
      </c>
      <c r="I1555" t="str">
        <v>הכנס ללא גושים ובסיום דספרסיה 5 דקות  בF 13</v>
      </c>
      <c r="K1555" t="str">
        <v>TIONA 826</v>
      </c>
      <c r="L1555" s="1">
        <v>0.12</v>
      </c>
      <c r="M1555" s="2">
        <f>(M$1564*L1555)</f>
        <v>360</v>
      </c>
    </row>
    <row r="1556">
      <c r="A1556" t="str">
        <v>הכנס ללא גושים ובסיום דספרסיה 5 דקות  בF 13</v>
      </c>
      <c r="B1556" s="3" t="str">
        <v>5דקות</v>
      </c>
      <c r="C1556" t="str">
        <v>TIONA 826</v>
      </c>
      <c r="D1556" s="1">
        <v>0.117</v>
      </c>
      <c r="E1556" s="2">
        <f>(E1565*D1556)</f>
        <v>117</v>
      </c>
      <c r="F1556">
        <v>468</v>
      </c>
      <c r="I1556" t="str">
        <v>הכנס ללא גושים ובסיום דספרסיה 5 דקות  בF 15</v>
      </c>
      <c r="K1556" t="str">
        <v xml:space="preserve"> CHARMOR PM 40</v>
      </c>
      <c r="L1556" s="1">
        <v>0.1</v>
      </c>
      <c r="M1556" s="2">
        <f>(M$1564*L1556)</f>
        <v>300</v>
      </c>
    </row>
    <row r="1557">
      <c r="A1557" t="str">
        <v>הכנס ללא גושים ובסיום דספרסיה 5 דקות  בF 15</v>
      </c>
      <c r="C1557" t="str">
        <v xml:space="preserve"> CHARMOR PM 40</v>
      </c>
      <c r="D1557" s="1">
        <v>0.0971</v>
      </c>
      <c r="E1557" s="2">
        <f>(E1565*D1557)</f>
        <v>97.10000000000001</v>
      </c>
      <c r="F1557">
        <v>747</v>
      </c>
      <c r="I1557" t="str">
        <v>הכנס ללא גושים ובסיום דספרסיה 5 דקות  בF 18</v>
      </c>
      <c r="K1557" t="str">
        <v>MELAFINE</v>
      </c>
      <c r="L1557" s="1">
        <v>0.1</v>
      </c>
      <c r="M1557" s="2">
        <f>(M$1564*L1557)</f>
        <v>300</v>
      </c>
    </row>
    <row r="1558">
      <c r="A1558" t="str">
        <v>הכנס ללא גושים ובסיום דספרסיה 5 דקות  בF 1 מנה י PP-1624</v>
      </c>
      <c r="B1558" s="3" t="str">
        <v>2דקות</v>
      </c>
      <c r="C1558" t="str">
        <v>MELAFINE</v>
      </c>
      <c r="D1558" s="1">
        <v>0.0971</v>
      </c>
      <c r="E1558" s="2">
        <f>(E1565*D1558)</f>
        <v>97.10000000000001</v>
      </c>
      <c r="F1558">
        <v>989</v>
      </c>
      <c r="I1558" t="str">
        <v>הכנס בזרם דק עד להומוגניות  בF 15</v>
      </c>
      <c r="K1558" s="3" t="str">
        <v>Texanol</v>
      </c>
      <c r="L1558" s="1">
        <v>0.0117</v>
      </c>
      <c r="M1558" s="2">
        <f>(M$1564*L1558)</f>
        <v>35.1</v>
      </c>
    </row>
    <row r="1559" ht="27.600000000000005" customHeight="1">
      <c r="A1559" t="str">
        <v xml:space="preserve">הכנס בזרם דק עד להומוגניות  בF 15 </v>
      </c>
      <c r="C1559" s="3" t="str">
        <v>Texanol</v>
      </c>
      <c r="D1559" s="1">
        <v>0.005</v>
      </c>
      <c r="E1559" s="2">
        <f>(E1565*D1559)</f>
        <v>5</v>
      </c>
      <c r="F1559">
        <v>700</v>
      </c>
      <c r="I1559" t="str">
        <v>הכנס ללא גושים  ב F18 עליה ל F21 ובסיום דספרסיה במשך 5 דקות . שים לב שלא יתחמם מידי</v>
      </c>
      <c r="K1559" s="3" t="str">
        <v>EXOLIT AP435</v>
      </c>
      <c r="L1559" s="1">
        <v>0.24</v>
      </c>
      <c r="M1559" s="2">
        <f>(M$1564*L1559)</f>
        <v>720</v>
      </c>
    </row>
    <row r="1560" ht="27.600000000000005" customHeight="1">
      <c r="A1560" t="str">
        <v>הכנס ללא גושים  ב F18 עליה ל F21 ובסיום דספרסיה במשך 5 דקות . שים לב שלא יתחמם מידי</v>
      </c>
      <c r="B1560" s="3" t="str">
        <v>4דקות</v>
      </c>
      <c r="C1560" s="3" t="str">
        <v>FR CROS 487</v>
      </c>
      <c r="D1560" s="1">
        <v>0.2437</v>
      </c>
      <c r="E1560" s="2">
        <f>(E1565*D1560)</f>
        <v>243.7</v>
      </c>
      <c r="F1560">
        <v>1372</v>
      </c>
      <c r="I1560" t="str">
        <v>להכניס לאט ובהדרגה  לפוזור מלא ב12 F</v>
      </c>
      <c r="K1560" s="3" t="str">
        <v>Lapinus CF 10</v>
      </c>
      <c r="L1560" s="1">
        <v>0.03</v>
      </c>
      <c r="M1560" s="2">
        <f>(M$1564*L1560)</f>
        <v>90</v>
      </c>
    </row>
    <row r="1561">
      <c r="A1561" t="str">
        <v xml:space="preserve">הכנס בזרם דק עד להומוגניות </v>
      </c>
      <c r="C1561" s="3" t="str">
        <v>VINNAPAS EZ 3019</v>
      </c>
      <c r="D1561" s="6">
        <v>0.085</v>
      </c>
      <c r="E1561" s="2">
        <f>(E1565*D1561)</f>
        <v>85</v>
      </c>
      <c r="F1561">
        <v>727</v>
      </c>
      <c r="I1561" t="str">
        <v>הכנס בזרם דק עד להומוגניות  בF 12  לאחר מכן הכנס אגיטן ובסיום המשך 7 דקות ערבול</v>
      </c>
      <c r="K1561" s="3" t="str">
        <v>VINNAPAS EZ 3112</v>
      </c>
      <c r="L1561" s="1">
        <v>0.215</v>
      </c>
      <c r="M1561" s="2">
        <f>(M$1564*L1561)</f>
        <v>645</v>
      </c>
    </row>
    <row r="1562">
      <c r="A1562" t="str">
        <v>להכניס לאט ובהדרגה  לפוזור מלא ב12 F</v>
      </c>
      <c r="B1562" s="3" t="str">
        <v>2דקות</v>
      </c>
      <c r="C1562" s="3" t="str">
        <v>Lapinus CF 10</v>
      </c>
      <c r="D1562" s="1">
        <v>0.03</v>
      </c>
      <c r="E1562" s="2">
        <f>(E1565*D1562)</f>
        <v>30</v>
      </c>
      <c r="F1562">
        <v>727</v>
      </c>
      <c r="K1562" s="3" t="str">
        <v>AGITAN 80</v>
      </c>
      <c r="L1562" s="1">
        <v>0.0005</v>
      </c>
      <c r="M1562" s="2">
        <f>(M$1564*L1562)</f>
        <v>1.5</v>
      </c>
    </row>
    <row r="1563">
      <c r="A1563" t="str">
        <v>הכנס בזרם דק עד להומוגניות  בF 12  לאחר מכן הכנס אגיטן ובסיום המשך 7 דקות ערבול</v>
      </c>
      <c r="C1563" s="3" t="str">
        <v>VINNAPAS EZ 3019</v>
      </c>
      <c r="D1563" s="1">
        <v>0.1545</v>
      </c>
      <c r="E1563" s="2">
        <f>(E1565*D1563)</f>
        <v>154.5</v>
      </c>
      <c r="F1563" t="str">
        <v>600  400</v>
      </c>
      <c r="L1563" s="4">
        <f>SUM(L1548:L1562)</f>
        <v>0.9999999999999999</v>
      </c>
      <c r="M1563" s="2">
        <f>SUM(M1548:M1562)</f>
        <v>3000</v>
      </c>
    </row>
    <row r="1564">
      <c r="B1564" s="3" t="str">
        <v>3דקות</v>
      </c>
      <c r="C1564" s="3" t="str">
        <v>AGITAN 80</v>
      </c>
      <c r="D1564" s="1">
        <v>0.0015</v>
      </c>
      <c r="E1564" s="2">
        <f>(E1565*D1564)</f>
        <v>1.5</v>
      </c>
      <c r="M1564" s="2">
        <v>3000</v>
      </c>
    </row>
    <row r="1565">
      <c r="D1565" s="4">
        <f>SUM(D1547:D1564)</f>
        <v>1</v>
      </c>
      <c r="E1565" s="2">
        <v>1000</v>
      </c>
    </row>
    <row r="1566">
      <c r="C1566" s="7">
        <f>SUM(D1552+D1554+D1556+D1557+D1558+D1560+D1561*0.5+D1562+D1563*0.5)</f>
        <v>0.7086500000000001</v>
      </c>
      <c r="E1566" s="2">
        <f>SUM(E1547:E1564)</f>
        <v>1000</v>
      </c>
    </row>
  </sheetData>
  <mergeCells count="420">
    <mergeCell ref="A1547:A1553"/>
    <mergeCell ref="I1548:I1554"/>
    <mergeCell ref="I1561:I1562"/>
    <mergeCell ref="A1563:A1564"/>
    <mergeCell ref="F365:G365"/>
    <mergeCell ref="L365:M365"/>
    <mergeCell ref="I365:K365"/>
    <mergeCell ref="E386:F386"/>
    <mergeCell ref="A386:D386"/>
    <mergeCell ref="D432:E432"/>
    <mergeCell ref="A1538:A1539"/>
    <mergeCell ref="I1538:I1539"/>
    <mergeCell ref="A1544:E1544"/>
    <mergeCell ref="A1545:E1545"/>
    <mergeCell ref="I1545:M1545"/>
    <mergeCell ref="I1546:M1546"/>
    <mergeCell ref="A1520:E1520"/>
    <mergeCell ref="I1520:M1520"/>
    <mergeCell ref="A1521:E1521"/>
    <mergeCell ref="I1521:M1521"/>
    <mergeCell ref="A1523:A1529"/>
    <mergeCell ref="I1523:I1529"/>
    <mergeCell ref="I1495:M1495"/>
    <mergeCell ref="I1496:M1496"/>
    <mergeCell ref="A1497:A1503"/>
    <mergeCell ref="I1498:I1504"/>
    <mergeCell ref="A1512:A1513"/>
    <mergeCell ref="I1513:I1514"/>
    <mergeCell ref="A1466:E1466"/>
    <mergeCell ref="A1467:E1467"/>
    <mergeCell ref="A1469:A1475"/>
    <mergeCell ref="A1482:A1483"/>
    <mergeCell ref="A1494:E1494"/>
    <mergeCell ref="A1495:E1495"/>
    <mergeCell ref="I1440:M1440"/>
    <mergeCell ref="A1441:A1447"/>
    <mergeCell ref="I1442:I1448"/>
    <mergeCell ref="I1455:I1456"/>
    <mergeCell ref="A1457:A1459"/>
    <mergeCell ref="I1459:I1460"/>
    <mergeCell ref="A1415:A1421"/>
    <mergeCell ref="I1415:I1421"/>
    <mergeCell ref="A1431:A1432"/>
    <mergeCell ref="I1431:I1432"/>
    <mergeCell ref="A1438:E1438"/>
    <mergeCell ref="I1439:M1439"/>
    <mergeCell ref="A1403:A1404"/>
    <mergeCell ref="I1403:I1404"/>
    <mergeCell ref="A1412:E1412"/>
    <mergeCell ref="I1412:M1412"/>
    <mergeCell ref="A1413:E1413"/>
    <mergeCell ref="I1413:M1413"/>
    <mergeCell ref="A1384:E1384"/>
    <mergeCell ref="I1384:M1384"/>
    <mergeCell ref="A1385:E1385"/>
    <mergeCell ref="I1385:M1385"/>
    <mergeCell ref="A1387:A1393"/>
    <mergeCell ref="I1387:I1393"/>
    <mergeCell ref="A1357:E1357"/>
    <mergeCell ref="I1357:M1357"/>
    <mergeCell ref="A1359:A1365"/>
    <mergeCell ref="I1359:I1365"/>
    <mergeCell ref="A1375:A1376"/>
    <mergeCell ref="I1375:I1376"/>
    <mergeCell ref="I1330:I1336"/>
    <mergeCell ref="A1331:A1337"/>
    <mergeCell ref="I1346:I1347"/>
    <mergeCell ref="A1347:A1348"/>
    <mergeCell ref="A1356:E1356"/>
    <mergeCell ref="I1356:M1356"/>
    <mergeCell ref="A1319:A1321"/>
    <mergeCell ref="I1319:I1321"/>
    <mergeCell ref="I1327:M1327"/>
    <mergeCell ref="A1328:E1328"/>
    <mergeCell ref="I1328:M1328"/>
    <mergeCell ref="A1329:E1329"/>
    <mergeCell ref="A1300:E1300"/>
    <mergeCell ref="I1300:M1300"/>
    <mergeCell ref="A1301:E1301"/>
    <mergeCell ref="I1301:M1301"/>
    <mergeCell ref="A1303:A1309"/>
    <mergeCell ref="I1303:I1309"/>
    <mergeCell ref="A1274:E1274"/>
    <mergeCell ref="I1274:M1274"/>
    <mergeCell ref="A1276:A1282"/>
    <mergeCell ref="I1276:I1282"/>
    <mergeCell ref="A1292:A1293"/>
    <mergeCell ref="I1292:I1293"/>
    <mergeCell ref="A1250:A1256"/>
    <mergeCell ref="I1250:I1256"/>
    <mergeCell ref="A1266:A1267"/>
    <mergeCell ref="I1266:I1267"/>
    <mergeCell ref="A1273:E1273"/>
    <mergeCell ref="I1273:M1273"/>
    <mergeCell ref="A1239:A1240"/>
    <mergeCell ref="I1239:I1240"/>
    <mergeCell ref="A1247:E1247"/>
    <mergeCell ref="I1247:M1247"/>
    <mergeCell ref="A1248:E1248"/>
    <mergeCell ref="I1248:M1248"/>
    <mergeCell ref="A1220:E1220"/>
    <mergeCell ref="I1220:M1220"/>
    <mergeCell ref="A1221:E1221"/>
    <mergeCell ref="I1221:M1221"/>
    <mergeCell ref="A1223:A1229"/>
    <mergeCell ref="I1223:I1229"/>
    <mergeCell ref="A1196:E1196"/>
    <mergeCell ref="I1196:M1196"/>
    <mergeCell ref="A1198:A1204"/>
    <mergeCell ref="I1198:I1204"/>
    <mergeCell ref="A1213:A1214"/>
    <mergeCell ref="I1213:I1214"/>
    <mergeCell ref="A1187:A1188"/>
    <mergeCell ref="I1187:I1188"/>
    <mergeCell ref="A1193:E1193"/>
    <mergeCell ref="A1194:E1194"/>
    <mergeCell ref="A1195:E1195"/>
    <mergeCell ref="I1195:M1195"/>
    <mergeCell ref="A1169:E1169"/>
    <mergeCell ref="I1169:M1169"/>
    <mergeCell ref="A1170:E1170"/>
    <mergeCell ref="I1170:M1170"/>
    <mergeCell ref="A1172:A1178"/>
    <mergeCell ref="I1172:I1178"/>
    <mergeCell ref="A1144:E1144"/>
    <mergeCell ref="I1144:M1144"/>
    <mergeCell ref="A1146:A1152"/>
    <mergeCell ref="I1146:I1152"/>
    <mergeCell ref="A1160:A1161"/>
    <mergeCell ref="I1160:I1161"/>
    <mergeCell ref="A1120:A1126"/>
    <mergeCell ref="I1120:I1126"/>
    <mergeCell ref="A1134:A1135"/>
    <mergeCell ref="I1134:I1135"/>
    <mergeCell ref="A1143:E1143"/>
    <mergeCell ref="I1143:M1143"/>
    <mergeCell ref="A1109:A1110"/>
    <mergeCell ref="I1109:I1110"/>
    <mergeCell ref="A1117:E1117"/>
    <mergeCell ref="I1117:M1117"/>
    <mergeCell ref="A1118:E1118"/>
    <mergeCell ref="I1118:M1118"/>
    <mergeCell ref="A1093:E1093"/>
    <mergeCell ref="I1093:M1093"/>
    <mergeCell ref="A1094:E1094"/>
    <mergeCell ref="I1094:M1094"/>
    <mergeCell ref="A1096:A1102"/>
    <mergeCell ref="I1096:I1102"/>
    <mergeCell ref="A1067:E1067"/>
    <mergeCell ref="I1067:M1067"/>
    <mergeCell ref="A1069:A1075"/>
    <mergeCell ref="I1069:I1075"/>
    <mergeCell ref="I1084:I1085"/>
    <mergeCell ref="A1086:A1087"/>
    <mergeCell ref="A1045:A1051"/>
    <mergeCell ref="I1045:I1051"/>
    <mergeCell ref="A1058:A1059"/>
    <mergeCell ref="I1060:I1061"/>
    <mergeCell ref="A1066:E1066"/>
    <mergeCell ref="I1066:M1066"/>
    <mergeCell ref="A1036:A1037"/>
    <mergeCell ref="I1036:I1037"/>
    <mergeCell ref="A1042:E1042"/>
    <mergeCell ref="I1042:M1042"/>
    <mergeCell ref="A1043:E1043"/>
    <mergeCell ref="I1043:M1043"/>
    <mergeCell ref="A1020:E1020"/>
    <mergeCell ref="I1020:M1020"/>
    <mergeCell ref="A1021:E1021"/>
    <mergeCell ref="I1021:M1021"/>
    <mergeCell ref="A1023:A1029"/>
    <mergeCell ref="I1023:I1029"/>
    <mergeCell ref="A998:E998"/>
    <mergeCell ref="I998:M998"/>
    <mergeCell ref="A1000:A1006"/>
    <mergeCell ref="I1000:I1006"/>
    <mergeCell ref="A1013:A1014"/>
    <mergeCell ref="I1013:I1014"/>
    <mergeCell ref="I975:M975"/>
    <mergeCell ref="A976:A982"/>
    <mergeCell ref="I977:I983"/>
    <mergeCell ref="A989:A990"/>
    <mergeCell ref="I990:I991"/>
    <mergeCell ref="A997:E997"/>
    <mergeCell ref="I997:M997"/>
    <mergeCell ref="A952:A958"/>
    <mergeCell ref="I952:I958"/>
    <mergeCell ref="A965:A966"/>
    <mergeCell ref="I965:I966"/>
    <mergeCell ref="A973:E973"/>
    <mergeCell ref="A974:E974"/>
    <mergeCell ref="I974:M974"/>
    <mergeCell ref="A928:A934"/>
    <mergeCell ref="I928:I933"/>
    <mergeCell ref="A941:A942"/>
    <mergeCell ref="A949:E949"/>
    <mergeCell ref="I949:M949"/>
    <mergeCell ref="A950:E950"/>
    <mergeCell ref="I950:M950"/>
    <mergeCell ref="A905:A910"/>
    <mergeCell ref="I906:I911"/>
    <mergeCell ref="A925:E925"/>
    <mergeCell ref="I925:M925"/>
    <mergeCell ref="A926:E926"/>
    <mergeCell ref="I926:M926"/>
    <mergeCell ref="A882:A887"/>
    <mergeCell ref="I882:I887"/>
    <mergeCell ref="A902:E902"/>
    <mergeCell ref="A903:E903"/>
    <mergeCell ref="I903:M903"/>
    <mergeCell ref="I904:M904"/>
    <mergeCell ref="A871:A872"/>
    <mergeCell ref="I871:I872"/>
    <mergeCell ref="A879:E879"/>
    <mergeCell ref="I879:M879"/>
    <mergeCell ref="A880:E880"/>
    <mergeCell ref="I880:M880"/>
    <mergeCell ref="A855:E855"/>
    <mergeCell ref="I855:M855"/>
    <mergeCell ref="A856:E856"/>
    <mergeCell ref="I856:M856"/>
    <mergeCell ref="A858:A864"/>
    <mergeCell ref="I858:I864"/>
    <mergeCell ref="A832:E832"/>
    <mergeCell ref="I832:M832"/>
    <mergeCell ref="A834:A840"/>
    <mergeCell ref="I834:I840"/>
    <mergeCell ref="A847:A848"/>
    <mergeCell ref="I847:I848"/>
    <mergeCell ref="A811:A817"/>
    <mergeCell ref="I811:I817"/>
    <mergeCell ref="A824:A825"/>
    <mergeCell ref="I824:I825"/>
    <mergeCell ref="A831:E831"/>
    <mergeCell ref="I831:M831"/>
    <mergeCell ref="A800:A801"/>
    <mergeCell ref="I800:I801"/>
    <mergeCell ref="A808:E808"/>
    <mergeCell ref="I808:M808"/>
    <mergeCell ref="A809:E809"/>
    <mergeCell ref="I809:M809"/>
    <mergeCell ref="A784:E784"/>
    <mergeCell ref="I784:M784"/>
    <mergeCell ref="A785:E785"/>
    <mergeCell ref="I785:M785"/>
    <mergeCell ref="A787:A793"/>
    <mergeCell ref="I787:I793"/>
    <mergeCell ref="I751:I752"/>
    <mergeCell ref="A759:E759"/>
    <mergeCell ref="I759:M759"/>
    <mergeCell ref="A760:E760"/>
    <mergeCell ref="I760:M760"/>
    <mergeCell ref="A762:A767"/>
    <mergeCell ref="I762:I767"/>
    <mergeCell ref="A735:E735"/>
    <mergeCell ref="I735:M735"/>
    <mergeCell ref="A736:E736"/>
    <mergeCell ref="I736:M736"/>
    <mergeCell ref="A738:A743"/>
    <mergeCell ref="I738:I744"/>
    <mergeCell ref="A712:E712"/>
    <mergeCell ref="I712:M712"/>
    <mergeCell ref="A714:A720"/>
    <mergeCell ref="I714:I720"/>
    <mergeCell ref="A727:A728"/>
    <mergeCell ref="I727:I728"/>
    <mergeCell ref="A691:E691"/>
    <mergeCell ref="I691:M691"/>
    <mergeCell ref="A693:A698"/>
    <mergeCell ref="I693:I698"/>
    <mergeCell ref="A711:E711"/>
    <mergeCell ref="I711:M711"/>
    <mergeCell ref="A666:E666"/>
    <mergeCell ref="I666:M666"/>
    <mergeCell ref="A668:A673"/>
    <mergeCell ref="I668:I673"/>
    <mergeCell ref="A690:E690"/>
    <mergeCell ref="I690:M690"/>
    <mergeCell ref="A643:E643"/>
    <mergeCell ref="I643:M643"/>
    <mergeCell ref="A645:A650"/>
    <mergeCell ref="I645:I650"/>
    <mergeCell ref="A665:E665"/>
    <mergeCell ref="I665:M665"/>
    <mergeCell ref="A618:E618"/>
    <mergeCell ref="I618:M618"/>
    <mergeCell ref="A620:A625"/>
    <mergeCell ref="I620:I625"/>
    <mergeCell ref="A642:E642"/>
    <mergeCell ref="I642:M642"/>
    <mergeCell ref="I594:I600"/>
    <mergeCell ref="A595:A601"/>
    <mergeCell ref="I607:I608"/>
    <mergeCell ref="A608:A609"/>
    <mergeCell ref="A617:E617"/>
    <mergeCell ref="I617:M617"/>
    <mergeCell ref="A571:A576"/>
    <mergeCell ref="I571:I576"/>
    <mergeCell ref="I591:M591"/>
    <mergeCell ref="A592:E592"/>
    <mergeCell ref="I592:M592"/>
    <mergeCell ref="A593:E593"/>
    <mergeCell ref="A560:A561"/>
    <mergeCell ref="I562:I563"/>
    <mergeCell ref="A568:E568"/>
    <mergeCell ref="I568:M568"/>
    <mergeCell ref="A569:E569"/>
    <mergeCell ref="I569:M569"/>
    <mergeCell ref="I539:I540"/>
    <mergeCell ref="A545:E545"/>
    <mergeCell ref="A546:E546"/>
    <mergeCell ref="I547:M547"/>
    <mergeCell ref="A548:A553"/>
    <mergeCell ref="I548:M548"/>
    <mergeCell ref="I550:I555"/>
    <mergeCell ref="A523:E523"/>
    <mergeCell ref="A524:E524"/>
    <mergeCell ref="I524:M524"/>
    <mergeCell ref="I525:M525"/>
    <mergeCell ref="A526:A531"/>
    <mergeCell ref="I527:I532"/>
    <mergeCell ref="A501:E501"/>
    <mergeCell ref="I501:M501"/>
    <mergeCell ref="A502:E502"/>
    <mergeCell ref="I502:M502"/>
    <mergeCell ref="A504:A509"/>
    <mergeCell ref="I504:I509"/>
    <mergeCell ref="A458:A463"/>
    <mergeCell ref="I458:I463"/>
    <mergeCell ref="A470:A471"/>
    <mergeCell ref="A479:E479"/>
    <mergeCell ref="A480:E480"/>
    <mergeCell ref="A482:A487"/>
    <mergeCell ref="A447:A448"/>
    <mergeCell ref="I447:I448"/>
    <mergeCell ref="A455:E455"/>
    <mergeCell ref="I455:M455"/>
    <mergeCell ref="A456:E456"/>
    <mergeCell ref="I456:M456"/>
    <mergeCell ref="I432:M432"/>
    <mergeCell ref="A433:E433"/>
    <mergeCell ref="I433:M433"/>
    <mergeCell ref="A435:A440"/>
    <mergeCell ref="I435:I440"/>
    <mergeCell ref="A432:C432"/>
    <mergeCell ref="A409:E409"/>
    <mergeCell ref="A410:E410"/>
    <mergeCell ref="I410:M410"/>
    <mergeCell ref="I411:M411"/>
    <mergeCell ref="A413:A414"/>
    <mergeCell ref="I413:I418"/>
    <mergeCell ref="I386:M386"/>
    <mergeCell ref="A387:E387"/>
    <mergeCell ref="I387:M387"/>
    <mergeCell ref="A389:A394"/>
    <mergeCell ref="I389:I394"/>
    <mergeCell ref="A365:E365"/>
    <mergeCell ref="A366:E366"/>
    <mergeCell ref="I366:M366"/>
    <mergeCell ref="A368:A373"/>
    <mergeCell ref="I368:I373"/>
    <mergeCell ref="A343:E343"/>
    <mergeCell ref="I343:M343"/>
    <mergeCell ref="A344:E344"/>
    <mergeCell ref="I344:M344"/>
    <mergeCell ref="A346:A351"/>
    <mergeCell ref="I346:I351"/>
    <mergeCell ref="A300:E300"/>
    <mergeCell ref="A301:E301"/>
    <mergeCell ref="A303:A308"/>
    <mergeCell ref="A321:E321"/>
    <mergeCell ref="A322:E322"/>
    <mergeCell ref="A324:A329"/>
    <mergeCell ref="A250:E250"/>
    <mergeCell ref="A251:E251"/>
    <mergeCell ref="A253:A258"/>
    <mergeCell ref="A277:E277"/>
    <mergeCell ref="A278:E278"/>
    <mergeCell ref="A280:A285"/>
    <mergeCell ref="A193:A197"/>
    <mergeCell ref="A210:E210"/>
    <mergeCell ref="A213:A217"/>
    <mergeCell ref="A228:E228"/>
    <mergeCell ref="A229:E229"/>
    <mergeCell ref="A231:A235"/>
    <mergeCell ref="A133:A135"/>
    <mergeCell ref="A150:E150"/>
    <mergeCell ref="A153:A155"/>
    <mergeCell ref="A168:E168"/>
    <mergeCell ref="A171:A175"/>
    <mergeCell ref="A190:E190"/>
    <mergeCell ref="A97:A98"/>
    <mergeCell ref="A99:A100"/>
    <mergeCell ref="A110:E110"/>
    <mergeCell ref="A113:A116"/>
    <mergeCell ref="A130:E130"/>
    <mergeCell ref="A59:A62"/>
    <mergeCell ref="A75:E75"/>
    <mergeCell ref="H75:I75"/>
    <mergeCell ref="A78:A81"/>
    <mergeCell ref="A94:E94"/>
    <mergeCell ref="H94:I94"/>
    <mergeCell ref="O39:P39"/>
    <mergeCell ref="H41:I41"/>
    <mergeCell ref="A42:A43"/>
    <mergeCell ref="A44:A45"/>
    <mergeCell ref="A56:E56"/>
    <mergeCell ref="H56:I56"/>
    <mergeCell ref="K23:L23"/>
    <mergeCell ref="A24:A26"/>
    <mergeCell ref="A39:E39"/>
    <mergeCell ref="H39:I39"/>
    <mergeCell ref="K39:L39"/>
    <mergeCell ref="M39:N39"/>
    <mergeCell ref="A1:E1"/>
    <mergeCell ref="H1:I1"/>
    <mergeCell ref="K1:L1"/>
    <mergeCell ref="A4:A5"/>
    <mergeCell ref="A21:E21"/>
    <mergeCell ref="H22:I22"/>
  </mergeCells>
  <pageMargins left="0.7" right="0.7" top="0.75" bottom="0.75" header="0.3" footer="0.3"/>
  <ignoredErrors>
    <ignoredError numberStoredAsText="1" sqref="A1:P15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5"/>
  <sheetViews>
    <sheetView workbookViewId="0" rightToLeft="1"/>
  </sheetViews>
  <sheetData>
    <row r="1">
      <c r="B1" t="str">
        <v>SOLVENT</v>
      </c>
      <c r="C1" t="str">
        <v>DISPERSANT</v>
      </c>
      <c r="D1" t="str">
        <v>ANTIBACTERIAL</v>
      </c>
      <c r="F1" t="str">
        <v>THICKENERS</v>
      </c>
      <c r="K1" t="str">
        <v>ANTI FOAM</v>
      </c>
      <c r="M1" t="str">
        <v>פיגמנט-טיטן דיאוקסיד</v>
      </c>
      <c r="Q1" t="str">
        <v>CARBON SOURCE</v>
      </c>
      <c r="S1" t="str">
        <v>BLOWING AGENT</v>
      </c>
      <c r="U1" t="str">
        <v>COALESCENT</v>
      </c>
      <c r="W1" t="str">
        <v>ACID SOURCE</v>
      </c>
      <c r="AA1" t="str">
        <v>CHAR REINFORCING</v>
      </c>
      <c r="AD1" t="str">
        <v>BINDER</v>
      </c>
    </row>
    <row r="2">
      <c r="A2" t="str">
        <v>פורמולציה</v>
      </c>
      <c r="B2" t="str">
        <v>מים</v>
      </c>
      <c r="C2" t="str">
        <v>OROTAN 731</v>
      </c>
      <c r="D2" t="str">
        <v>VINKOCID CMIF</v>
      </c>
      <c r="E2" t="str">
        <v>MERGAL K14</v>
      </c>
      <c r="F2" t="str">
        <v>XANTHAN</v>
      </c>
      <c r="G2" t="str">
        <v>COMBIZELL</v>
      </c>
      <c r="H2" t="str">
        <v>RM-825</v>
      </c>
      <c r="I2" t="str">
        <v>KELZAN</v>
      </c>
      <c r="J2" t="str">
        <v>OPTIGEL WX</v>
      </c>
      <c r="K2" t="str">
        <v>AGITAN 80</v>
      </c>
      <c r="L2" t="str">
        <v>TROYKYD D704</v>
      </c>
      <c r="M2" t="str">
        <v>BLR895</v>
      </c>
      <c r="N2" t="str">
        <v>TIONA 826</v>
      </c>
      <c r="O2" t="str">
        <v>TIONA 595</v>
      </c>
      <c r="P2" t="str">
        <v>KRONOS 2160</v>
      </c>
      <c r="Q2" t="str">
        <v>CHARMOR PM 40</v>
      </c>
      <c r="R2" t="str">
        <v>CHARMOR DP15</v>
      </c>
      <c r="S2" t="str">
        <v>AFLAMMIT PMN200</v>
      </c>
      <c r="T2" t="str">
        <v>MELAFINE</v>
      </c>
      <c r="U2" t="str">
        <v>texanol</v>
      </c>
      <c r="V2" t="str">
        <v>ENHANCER 400</v>
      </c>
      <c r="W2" t="str">
        <v>EXOLIT AP435</v>
      </c>
      <c r="X2" t="str">
        <v>FRCROSS 584</v>
      </c>
      <c r="Y2" t="str">
        <v>FRCROSS 487</v>
      </c>
      <c r="Z2" t="str">
        <v>FRCROSS 759</v>
      </c>
      <c r="AA2" t="str">
        <v>LAPINUS CF 10</v>
      </c>
      <c r="AB2" t="str">
        <v>FG 400/040</v>
      </c>
      <c r="AC2" t="str">
        <v>LEVASIL  CC401</v>
      </c>
      <c r="AD2" t="str">
        <v>ENCOR 367</v>
      </c>
      <c r="AE2" t="str">
        <v>ENCOR 2394</v>
      </c>
      <c r="AF2" t="str">
        <v>MOWILITH LDM 2310</v>
      </c>
      <c r="AG2" t="str">
        <v>VINNAPAS EZ 3112</v>
      </c>
      <c r="AH2" t="str">
        <v>VINNAPAS EZ 3019</v>
      </c>
      <c r="AI2" t="str">
        <v>EMULTEX FR 797</v>
      </c>
      <c r="AJ2" t="str">
        <v>סה''כ</v>
      </c>
    </row>
    <row r="3">
      <c r="A3" t="str">
        <v xml:space="preserve"> 27.10.2022-001  </v>
      </c>
      <c r="B3">
        <v>0.1904</v>
      </c>
      <c r="C3">
        <v>0.002</v>
      </c>
      <c r="D3">
        <v>0</v>
      </c>
      <c r="E3">
        <v>0</v>
      </c>
      <c r="F3">
        <v>0.002</v>
      </c>
      <c r="G3">
        <v>0</v>
      </c>
      <c r="H3">
        <v>0</v>
      </c>
      <c r="I3">
        <v>0</v>
      </c>
      <c r="J3">
        <v>0</v>
      </c>
      <c r="K3">
        <v>0.003</v>
      </c>
      <c r="L3">
        <v>0</v>
      </c>
      <c r="M3">
        <v>0</v>
      </c>
      <c r="N3">
        <v>0.1057</v>
      </c>
      <c r="O3">
        <v>0</v>
      </c>
      <c r="P3">
        <v>0</v>
      </c>
      <c r="Q3">
        <v>0.1057</v>
      </c>
      <c r="R3">
        <v>0</v>
      </c>
      <c r="S3">
        <v>0.1057</v>
      </c>
      <c r="T3">
        <v>0</v>
      </c>
      <c r="U3">
        <v>0</v>
      </c>
      <c r="V3">
        <v>0</v>
      </c>
      <c r="W3">
        <v>0.2742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0.2114</v>
      </c>
      <c r="AE3">
        <v>0</v>
      </c>
      <c r="AF3">
        <v>0</v>
      </c>
      <c r="AG3">
        <v>0</v>
      </c>
      <c r="AH3">
        <v>0</v>
      </c>
      <c r="AI3">
        <v>0</v>
      </c>
      <c r="AJ3">
        <v>1.0001</v>
      </c>
    </row>
    <row r="4">
      <c r="A4" t="str">
        <v>31.10.2022-002</v>
      </c>
      <c r="B4">
        <v>0.1908</v>
      </c>
      <c r="C4">
        <v>0.002</v>
      </c>
      <c r="D4">
        <v>0</v>
      </c>
      <c r="E4">
        <v>0</v>
      </c>
      <c r="F4">
        <v>0.0016</v>
      </c>
      <c r="G4">
        <v>0</v>
      </c>
      <c r="H4">
        <v>0</v>
      </c>
      <c r="I4">
        <v>0</v>
      </c>
      <c r="J4">
        <v>0</v>
      </c>
      <c r="K4">
        <v>0.003</v>
      </c>
      <c r="L4">
        <v>0</v>
      </c>
      <c r="M4">
        <v>0</v>
      </c>
      <c r="N4">
        <v>0.1057</v>
      </c>
      <c r="O4">
        <v>0</v>
      </c>
      <c r="P4">
        <v>0</v>
      </c>
      <c r="Q4">
        <v>0.1057</v>
      </c>
      <c r="R4">
        <v>0</v>
      </c>
      <c r="S4">
        <v>0</v>
      </c>
      <c r="T4">
        <v>0.1057</v>
      </c>
      <c r="U4">
        <v>0</v>
      </c>
      <c r="V4">
        <v>0</v>
      </c>
      <c r="W4">
        <v>0.2742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0.2114</v>
      </c>
      <c r="AE4">
        <v>0</v>
      </c>
      <c r="AF4">
        <v>0</v>
      </c>
      <c r="AG4">
        <v>0</v>
      </c>
      <c r="AH4">
        <v>0</v>
      </c>
      <c r="AI4">
        <v>0</v>
      </c>
      <c r="AJ4">
        <v>1.0001</v>
      </c>
    </row>
    <row r="5">
      <c r="A5" t="str">
        <v>10.11.2022-003</v>
      </c>
      <c r="B5">
        <v>0.188</v>
      </c>
      <c r="C5">
        <v>0.0016</v>
      </c>
      <c r="D5">
        <v>0</v>
      </c>
      <c r="E5">
        <v>0</v>
      </c>
      <c r="F5">
        <v>0</v>
      </c>
      <c r="G5">
        <v>0.001</v>
      </c>
      <c r="H5">
        <v>0.003</v>
      </c>
      <c r="I5">
        <v>0</v>
      </c>
      <c r="J5">
        <v>0</v>
      </c>
      <c r="K5">
        <v>0.003</v>
      </c>
      <c r="L5">
        <v>0</v>
      </c>
      <c r="M5">
        <v>0</v>
      </c>
      <c r="N5">
        <v>0</v>
      </c>
      <c r="O5">
        <v>0.1058</v>
      </c>
      <c r="P5">
        <v>0</v>
      </c>
      <c r="Q5">
        <v>0.1058</v>
      </c>
      <c r="R5">
        <v>0</v>
      </c>
      <c r="S5">
        <v>0</v>
      </c>
      <c r="T5">
        <v>0.1058</v>
      </c>
      <c r="U5">
        <v>0</v>
      </c>
      <c r="V5">
        <v>0</v>
      </c>
      <c r="W5">
        <v>0.2745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0.2116</v>
      </c>
      <c r="AE5">
        <v>0</v>
      </c>
      <c r="AF5">
        <v>0</v>
      </c>
      <c r="AG5">
        <v>0</v>
      </c>
      <c r="AH5">
        <v>0</v>
      </c>
      <c r="AI5">
        <v>0</v>
      </c>
      <c r="AJ5">
        <v>1.0001</v>
      </c>
    </row>
    <row r="6">
      <c r="A6" t="str">
        <v xml:space="preserve">  22.11.2022-003.1  </v>
      </c>
      <c r="B6">
        <v>0.188</v>
      </c>
      <c r="C6">
        <v>0.0016</v>
      </c>
      <c r="D6">
        <v>0</v>
      </c>
      <c r="E6">
        <v>0</v>
      </c>
      <c r="F6">
        <v>0</v>
      </c>
      <c r="G6">
        <v>0.001</v>
      </c>
      <c r="H6">
        <v>0.003</v>
      </c>
      <c r="I6">
        <v>0</v>
      </c>
      <c r="J6">
        <v>0</v>
      </c>
      <c r="K6">
        <v>0.003</v>
      </c>
      <c r="L6">
        <v>0</v>
      </c>
      <c r="M6">
        <v>0</v>
      </c>
      <c r="N6">
        <v>0</v>
      </c>
      <c r="O6">
        <v>0.1058</v>
      </c>
      <c r="P6">
        <v>0</v>
      </c>
      <c r="Q6">
        <v>0.1058</v>
      </c>
      <c r="R6">
        <v>0</v>
      </c>
      <c r="S6">
        <v>0</v>
      </c>
      <c r="T6">
        <v>0.1058</v>
      </c>
      <c r="U6">
        <v>0</v>
      </c>
      <c r="V6">
        <v>0</v>
      </c>
      <c r="W6">
        <v>0.2745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0.2116</v>
      </c>
      <c r="AE6">
        <v>0</v>
      </c>
      <c r="AF6">
        <v>0</v>
      </c>
      <c r="AG6">
        <v>0</v>
      </c>
      <c r="AH6">
        <v>0</v>
      </c>
      <c r="AI6">
        <v>0</v>
      </c>
      <c r="AJ6">
        <v>1.0001</v>
      </c>
    </row>
    <row r="7">
      <c r="A7" t="str">
        <v xml:space="preserve"> 22.11.2022-003.2  </v>
      </c>
      <c r="B7">
        <v>0.188</v>
      </c>
      <c r="C7">
        <v>0.0016</v>
      </c>
      <c r="D7">
        <v>0</v>
      </c>
      <c r="E7">
        <v>0</v>
      </c>
      <c r="F7">
        <v>0</v>
      </c>
      <c r="G7">
        <v>0.001</v>
      </c>
      <c r="H7">
        <v>0.003</v>
      </c>
      <c r="I7">
        <v>0</v>
      </c>
      <c r="J7">
        <v>0</v>
      </c>
      <c r="K7">
        <v>0.003</v>
      </c>
      <c r="L7">
        <v>0</v>
      </c>
      <c r="M7">
        <v>0</v>
      </c>
      <c r="N7">
        <v>0</v>
      </c>
      <c r="O7">
        <v>0.1058</v>
      </c>
      <c r="P7">
        <v>0</v>
      </c>
      <c r="Q7">
        <v>0.1058</v>
      </c>
      <c r="R7">
        <v>0</v>
      </c>
      <c r="S7">
        <v>0</v>
      </c>
      <c r="T7">
        <v>0.1058</v>
      </c>
      <c r="U7">
        <v>0</v>
      </c>
      <c r="V7">
        <v>0</v>
      </c>
      <c r="W7">
        <v>0.2745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0.2116</v>
      </c>
      <c r="AE7">
        <v>0</v>
      </c>
      <c r="AF7">
        <v>0</v>
      </c>
      <c r="AG7">
        <v>0</v>
      </c>
      <c r="AH7">
        <v>0</v>
      </c>
      <c r="AI7">
        <v>0</v>
      </c>
      <c r="AJ7">
        <v>1.0001</v>
      </c>
    </row>
    <row r="8">
      <c r="A8" t="str">
        <v>23.11.2022-003.3</v>
      </c>
      <c r="B8">
        <v>0.188</v>
      </c>
      <c r="C8">
        <v>0.0016</v>
      </c>
      <c r="D8">
        <v>0</v>
      </c>
      <c r="E8">
        <v>0</v>
      </c>
      <c r="F8">
        <v>0</v>
      </c>
      <c r="G8">
        <v>0.001</v>
      </c>
      <c r="H8">
        <v>0.003</v>
      </c>
      <c r="I8">
        <v>0</v>
      </c>
      <c r="J8">
        <v>0</v>
      </c>
      <c r="K8">
        <v>0.003</v>
      </c>
      <c r="L8">
        <v>0</v>
      </c>
      <c r="M8">
        <v>0</v>
      </c>
      <c r="N8">
        <v>0</v>
      </c>
      <c r="O8">
        <v>0.1058</v>
      </c>
      <c r="P8">
        <v>0</v>
      </c>
      <c r="Q8">
        <v>0.1058</v>
      </c>
      <c r="R8">
        <v>0</v>
      </c>
      <c r="S8">
        <v>0</v>
      </c>
      <c r="T8">
        <v>0.1058</v>
      </c>
      <c r="U8">
        <v>0</v>
      </c>
      <c r="V8">
        <v>0</v>
      </c>
      <c r="W8">
        <v>0.2746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0.2116</v>
      </c>
      <c r="AE8">
        <v>0</v>
      </c>
      <c r="AF8">
        <v>0</v>
      </c>
      <c r="AG8">
        <v>0</v>
      </c>
      <c r="AH8">
        <v>0</v>
      </c>
      <c r="AI8">
        <v>0</v>
      </c>
      <c r="AJ8">
        <v>1.0002</v>
      </c>
    </row>
    <row r="9">
      <c r="A9" t="str">
        <v>16.11.2022-004</v>
      </c>
      <c r="B9">
        <v>0.188</v>
      </c>
      <c r="C9">
        <v>0.0016</v>
      </c>
      <c r="D9">
        <v>0</v>
      </c>
      <c r="E9">
        <v>0</v>
      </c>
      <c r="F9">
        <v>0</v>
      </c>
      <c r="G9">
        <v>0.001</v>
      </c>
      <c r="H9">
        <v>0.003</v>
      </c>
      <c r="I9">
        <v>0</v>
      </c>
      <c r="J9">
        <v>0</v>
      </c>
      <c r="K9">
        <v>0.003</v>
      </c>
      <c r="L9">
        <v>0</v>
      </c>
      <c r="M9">
        <v>0</v>
      </c>
      <c r="N9">
        <v>0</v>
      </c>
      <c r="O9">
        <v>0.1058</v>
      </c>
      <c r="P9">
        <v>0</v>
      </c>
      <c r="Q9">
        <v>0.1058</v>
      </c>
      <c r="R9">
        <v>0</v>
      </c>
      <c r="S9">
        <v>0</v>
      </c>
      <c r="T9">
        <v>0.1058</v>
      </c>
      <c r="U9">
        <v>0</v>
      </c>
      <c r="V9">
        <v>0</v>
      </c>
      <c r="W9">
        <v>0.2745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0.2116</v>
      </c>
      <c r="AG9">
        <v>0</v>
      </c>
      <c r="AH9">
        <v>0</v>
      </c>
      <c r="AI9">
        <v>0</v>
      </c>
      <c r="AJ9">
        <v>1.0001</v>
      </c>
    </row>
    <row r="10">
      <c r="A10" t="str">
        <v>11.12.2022-005</v>
      </c>
      <c r="B10">
        <v>0.1748</v>
      </c>
      <c r="C10">
        <v>0.0016</v>
      </c>
      <c r="D10">
        <v>0.002</v>
      </c>
      <c r="E10">
        <v>0</v>
      </c>
      <c r="F10">
        <v>0.002</v>
      </c>
      <c r="G10">
        <v>0</v>
      </c>
      <c r="H10">
        <v>0</v>
      </c>
      <c r="I10">
        <v>0</v>
      </c>
      <c r="J10">
        <v>0</v>
      </c>
      <c r="K10">
        <v>0.003</v>
      </c>
      <c r="L10">
        <v>0</v>
      </c>
      <c r="M10">
        <v>0</v>
      </c>
      <c r="N10">
        <v>0.106</v>
      </c>
      <c r="O10">
        <v>0</v>
      </c>
      <c r="P10">
        <v>0</v>
      </c>
      <c r="Q10">
        <v>0.106</v>
      </c>
      <c r="R10">
        <v>0</v>
      </c>
      <c r="S10">
        <v>0</v>
      </c>
      <c r="T10">
        <v>0.106</v>
      </c>
      <c r="U10">
        <v>0.0116</v>
      </c>
      <c r="V10">
        <v>0</v>
      </c>
      <c r="W10">
        <v>0.275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0.212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0.9999999999999999</v>
      </c>
    </row>
    <row r="11">
      <c r="A11" t="str">
        <v>11.12.2022-006</v>
      </c>
      <c r="B11">
        <v>0.1748</v>
      </c>
      <c r="C11">
        <v>0.0016</v>
      </c>
      <c r="D11">
        <v>0.002</v>
      </c>
      <c r="E11">
        <v>0</v>
      </c>
      <c r="F11">
        <v>0.002</v>
      </c>
      <c r="G11">
        <v>0</v>
      </c>
      <c r="H11">
        <v>0</v>
      </c>
      <c r="I11">
        <v>0</v>
      </c>
      <c r="J11">
        <v>0</v>
      </c>
      <c r="K11">
        <v>0.003</v>
      </c>
      <c r="L11">
        <v>0</v>
      </c>
      <c r="M11">
        <v>0.106</v>
      </c>
      <c r="N11">
        <v>0</v>
      </c>
      <c r="O11">
        <v>0</v>
      </c>
      <c r="P11">
        <v>0</v>
      </c>
      <c r="Q11">
        <v>0.106</v>
      </c>
      <c r="R11">
        <v>0</v>
      </c>
      <c r="S11">
        <v>0</v>
      </c>
      <c r="T11">
        <v>0.106</v>
      </c>
      <c r="U11">
        <v>0.0116</v>
      </c>
      <c r="V11">
        <v>0</v>
      </c>
      <c r="W11">
        <v>0.275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0.212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0.9999999999999999</v>
      </c>
    </row>
    <row r="12">
      <c r="A12" t="str">
        <v>11.12.2022-007</v>
      </c>
      <c r="B12">
        <v>0.1733</v>
      </c>
      <c r="C12">
        <v>0.0016</v>
      </c>
      <c r="D12">
        <v>0.002</v>
      </c>
      <c r="E12">
        <v>0</v>
      </c>
      <c r="F12">
        <v>0</v>
      </c>
      <c r="G12">
        <v>0.001</v>
      </c>
      <c r="H12">
        <v>0.0025</v>
      </c>
      <c r="I12">
        <v>0</v>
      </c>
      <c r="J12">
        <v>0</v>
      </c>
      <c r="K12">
        <v>0.003</v>
      </c>
      <c r="L12">
        <v>0</v>
      </c>
      <c r="M12">
        <v>0</v>
      </c>
      <c r="N12">
        <v>0.106</v>
      </c>
      <c r="O12">
        <v>0</v>
      </c>
      <c r="P12">
        <v>0</v>
      </c>
      <c r="Q12">
        <v>0.106</v>
      </c>
      <c r="R12">
        <v>0</v>
      </c>
      <c r="S12">
        <v>0</v>
      </c>
      <c r="T12">
        <v>0.106</v>
      </c>
      <c r="U12">
        <v>0.0116</v>
      </c>
      <c r="V12">
        <v>0</v>
      </c>
      <c r="W12">
        <v>0.275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0.212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0.9999999999999999</v>
      </c>
    </row>
    <row r="13">
      <c r="A13" t="str">
        <v>22.12.2022-008</v>
      </c>
      <c r="B13">
        <v>0.1733</v>
      </c>
      <c r="C13">
        <v>0.0016</v>
      </c>
      <c r="D13">
        <v>0.002</v>
      </c>
      <c r="E13">
        <v>0</v>
      </c>
      <c r="F13">
        <v>0</v>
      </c>
      <c r="G13">
        <v>0.001</v>
      </c>
      <c r="H13">
        <v>0.0025</v>
      </c>
      <c r="I13">
        <v>0</v>
      </c>
      <c r="J13">
        <v>0</v>
      </c>
      <c r="K13">
        <v>0.003</v>
      </c>
      <c r="L13">
        <v>0</v>
      </c>
      <c r="M13">
        <v>0</v>
      </c>
      <c r="N13">
        <v>0.106</v>
      </c>
      <c r="O13">
        <v>0</v>
      </c>
      <c r="P13">
        <v>0</v>
      </c>
      <c r="Q13">
        <v>0.106</v>
      </c>
      <c r="R13">
        <v>0</v>
      </c>
      <c r="S13">
        <v>0</v>
      </c>
      <c r="T13">
        <v>0.106</v>
      </c>
      <c r="U13">
        <v>0.0116</v>
      </c>
      <c r="V13">
        <v>0</v>
      </c>
      <c r="W13">
        <v>0.275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0.212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0.9999999999999999</v>
      </c>
    </row>
    <row r="14">
      <c r="A14" t="str">
        <v>25.12.2022-009</v>
      </c>
      <c r="B14">
        <v>0.1728</v>
      </c>
      <c r="C14">
        <v>0.0016</v>
      </c>
      <c r="D14">
        <v>0.002</v>
      </c>
      <c r="E14">
        <v>0</v>
      </c>
      <c r="F14">
        <v>0</v>
      </c>
      <c r="G14">
        <v>0.0015</v>
      </c>
      <c r="H14">
        <v>0.0025</v>
      </c>
      <c r="I14">
        <v>0</v>
      </c>
      <c r="J14">
        <v>0</v>
      </c>
      <c r="K14">
        <v>0.003</v>
      </c>
      <c r="L14">
        <v>0</v>
      </c>
      <c r="M14">
        <v>0</v>
      </c>
      <c r="N14">
        <v>0.106</v>
      </c>
      <c r="O14">
        <v>0</v>
      </c>
      <c r="P14">
        <v>0</v>
      </c>
      <c r="Q14">
        <v>0.106</v>
      </c>
      <c r="R14">
        <v>0</v>
      </c>
      <c r="S14">
        <v>0</v>
      </c>
      <c r="T14">
        <v>0.106</v>
      </c>
      <c r="U14">
        <v>0.0116</v>
      </c>
      <c r="V14">
        <v>0</v>
      </c>
      <c r="W14">
        <v>0.275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0.212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0.9999999999999999</v>
      </c>
    </row>
    <row r="15">
      <c r="A15" t="str">
        <v>27.12.2022-010</v>
      </c>
      <c r="B15">
        <v>0.1731</v>
      </c>
      <c r="C15">
        <v>0.0016</v>
      </c>
      <c r="D15">
        <v>0.002</v>
      </c>
      <c r="E15">
        <v>0</v>
      </c>
      <c r="F15">
        <v>0</v>
      </c>
      <c r="G15">
        <v>0.0011</v>
      </c>
      <c r="H15">
        <v>0.0026</v>
      </c>
      <c r="I15">
        <v>0</v>
      </c>
      <c r="J15">
        <v>0</v>
      </c>
      <c r="K15">
        <v>0.003</v>
      </c>
      <c r="L15">
        <v>0</v>
      </c>
      <c r="M15">
        <v>0</v>
      </c>
      <c r="N15">
        <v>0.106</v>
      </c>
      <c r="O15">
        <v>0</v>
      </c>
      <c r="P15">
        <v>0</v>
      </c>
      <c r="Q15">
        <v>0.106</v>
      </c>
      <c r="R15">
        <v>0</v>
      </c>
      <c r="S15">
        <v>0</v>
      </c>
      <c r="T15">
        <v>0.106</v>
      </c>
      <c r="U15">
        <v>0.0117</v>
      </c>
      <c r="V15">
        <v>0</v>
      </c>
      <c r="W15">
        <v>0.2749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0.212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1</v>
      </c>
    </row>
    <row r="16">
      <c r="A16" t="str">
        <v>03.01.2023-011</v>
      </c>
      <c r="B16">
        <v>0.1733</v>
      </c>
      <c r="C16">
        <v>0.0016</v>
      </c>
      <c r="D16">
        <v>0.002</v>
      </c>
      <c r="E16">
        <v>0</v>
      </c>
      <c r="F16">
        <v>0</v>
      </c>
      <c r="G16">
        <v>0.001</v>
      </c>
      <c r="H16">
        <v>0.0025</v>
      </c>
      <c r="I16">
        <v>0</v>
      </c>
      <c r="J16">
        <v>0</v>
      </c>
      <c r="K16">
        <v>0.001</v>
      </c>
      <c r="L16">
        <v>0</v>
      </c>
      <c r="M16">
        <v>0</v>
      </c>
      <c r="N16">
        <v>0.106</v>
      </c>
      <c r="O16">
        <v>0</v>
      </c>
      <c r="P16">
        <v>0</v>
      </c>
      <c r="Q16">
        <v>0.106</v>
      </c>
      <c r="R16">
        <v>0</v>
      </c>
      <c r="S16">
        <v>0</v>
      </c>
      <c r="T16">
        <v>0.106</v>
      </c>
      <c r="U16">
        <v>0.0117</v>
      </c>
      <c r="V16">
        <v>0</v>
      </c>
      <c r="W16">
        <v>0.2749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0.212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0.998</v>
      </c>
    </row>
    <row r="17">
      <c r="A17" t="str">
        <v>01.02.2023-012</v>
      </c>
      <c r="B17">
        <v>0.174</v>
      </c>
      <c r="C17">
        <v>0.0016</v>
      </c>
      <c r="D17">
        <v>0.002</v>
      </c>
      <c r="E17">
        <v>0</v>
      </c>
      <c r="F17">
        <v>0</v>
      </c>
      <c r="G17">
        <v>0.0008</v>
      </c>
      <c r="H17">
        <v>0.002</v>
      </c>
      <c r="I17">
        <v>0</v>
      </c>
      <c r="J17">
        <v>0</v>
      </c>
      <c r="K17">
        <v>0.002</v>
      </c>
      <c r="L17">
        <v>0</v>
      </c>
      <c r="M17">
        <v>0</v>
      </c>
      <c r="N17">
        <v>0.106</v>
      </c>
      <c r="O17">
        <v>0</v>
      </c>
      <c r="P17">
        <v>0</v>
      </c>
      <c r="Q17">
        <v>0.106</v>
      </c>
      <c r="R17">
        <v>0</v>
      </c>
      <c r="S17">
        <v>0</v>
      </c>
      <c r="T17">
        <v>0.106</v>
      </c>
      <c r="U17">
        <v>0.0117</v>
      </c>
      <c r="V17">
        <v>0</v>
      </c>
      <c r="W17">
        <v>0.2749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0.212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0.9989999999999999</v>
      </c>
    </row>
    <row r="18">
      <c r="A18" t="str">
        <v>14.02.2023-013</v>
      </c>
      <c r="B18">
        <v>0.174</v>
      </c>
      <c r="C18">
        <v>0.0016</v>
      </c>
      <c r="D18">
        <v>0.002</v>
      </c>
      <c r="E18">
        <v>0</v>
      </c>
      <c r="F18">
        <v>0</v>
      </c>
      <c r="G18">
        <v>0.0008</v>
      </c>
      <c r="H18">
        <v>0.002</v>
      </c>
      <c r="I18">
        <v>0</v>
      </c>
      <c r="J18">
        <v>0</v>
      </c>
      <c r="K18">
        <v>0.003</v>
      </c>
      <c r="L18">
        <v>0</v>
      </c>
      <c r="M18">
        <v>0</v>
      </c>
      <c r="N18">
        <v>0.106</v>
      </c>
      <c r="O18">
        <v>0</v>
      </c>
      <c r="P18">
        <v>0</v>
      </c>
      <c r="Q18">
        <v>0.106</v>
      </c>
      <c r="R18">
        <v>0</v>
      </c>
      <c r="S18">
        <v>0</v>
      </c>
      <c r="T18">
        <v>0.106</v>
      </c>
      <c r="U18">
        <v>0.0117</v>
      </c>
      <c r="V18">
        <v>0</v>
      </c>
      <c r="W18">
        <v>0.2749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0.212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1</v>
      </c>
    </row>
    <row r="19">
      <c r="A19" t="str">
        <v>16.02.2023-013</v>
      </c>
      <c r="B19">
        <v>0.174</v>
      </c>
      <c r="C19">
        <v>0.0016</v>
      </c>
      <c r="D19">
        <v>0.002</v>
      </c>
      <c r="E19">
        <v>0</v>
      </c>
      <c r="F19">
        <v>0</v>
      </c>
      <c r="G19">
        <v>0.0008</v>
      </c>
      <c r="H19">
        <v>0.002</v>
      </c>
      <c r="I19">
        <v>0</v>
      </c>
      <c r="J19">
        <v>0</v>
      </c>
      <c r="K19">
        <v>0.003</v>
      </c>
      <c r="L19">
        <v>0</v>
      </c>
      <c r="M19">
        <v>0</v>
      </c>
      <c r="N19">
        <v>0.106</v>
      </c>
      <c r="O19">
        <v>0</v>
      </c>
      <c r="P19">
        <v>0</v>
      </c>
      <c r="Q19">
        <v>0.106</v>
      </c>
      <c r="R19">
        <v>0</v>
      </c>
      <c r="S19">
        <v>0</v>
      </c>
      <c r="T19">
        <v>0.106</v>
      </c>
      <c r="U19">
        <v>0.0117</v>
      </c>
      <c r="V19">
        <v>0</v>
      </c>
      <c r="W19">
        <v>0</v>
      </c>
      <c r="X19">
        <v>0</v>
      </c>
      <c r="Y19">
        <v>0.2749</v>
      </c>
      <c r="Z19">
        <v>0</v>
      </c>
      <c r="AA19">
        <v>0</v>
      </c>
      <c r="AB19">
        <v>0</v>
      </c>
      <c r="AC19">
        <v>0</v>
      </c>
      <c r="AD19">
        <v>0.212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</row>
    <row r="20">
      <c r="A20" t="str">
        <v>27.06.2023-014</v>
      </c>
      <c r="B20">
        <v>0.1758</v>
      </c>
      <c r="C20">
        <v>0.0016</v>
      </c>
      <c r="D20">
        <v>0.002</v>
      </c>
      <c r="E20">
        <v>0</v>
      </c>
      <c r="F20">
        <v>0</v>
      </c>
      <c r="G20">
        <v>0.001</v>
      </c>
      <c r="H20">
        <v>0</v>
      </c>
      <c r="I20">
        <v>0</v>
      </c>
      <c r="J20">
        <v>0</v>
      </c>
      <c r="K20">
        <v>0.003</v>
      </c>
      <c r="L20">
        <v>0</v>
      </c>
      <c r="M20">
        <v>0</v>
      </c>
      <c r="N20">
        <v>0.106</v>
      </c>
      <c r="O20">
        <v>0</v>
      </c>
      <c r="P20">
        <v>0</v>
      </c>
      <c r="Q20">
        <v>0.106</v>
      </c>
      <c r="R20">
        <v>0</v>
      </c>
      <c r="S20">
        <v>0</v>
      </c>
      <c r="T20">
        <v>0.106</v>
      </c>
      <c r="U20">
        <v>0.0117</v>
      </c>
      <c r="V20">
        <v>0</v>
      </c>
      <c r="W20">
        <v>0.2749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0.212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1</v>
      </c>
    </row>
    <row r="21">
      <c r="A21" t="str">
        <v>28.06.2023-014(1)</v>
      </c>
      <c r="B21">
        <v>0.1758</v>
      </c>
      <c r="C21">
        <v>0.0016</v>
      </c>
      <c r="D21">
        <v>0.002</v>
      </c>
      <c r="E21">
        <v>0</v>
      </c>
      <c r="F21">
        <v>0</v>
      </c>
      <c r="G21">
        <v>0.001</v>
      </c>
      <c r="H21">
        <v>0</v>
      </c>
      <c r="I21">
        <v>0</v>
      </c>
      <c r="J21">
        <v>0</v>
      </c>
      <c r="K21">
        <v>0.003</v>
      </c>
      <c r="L21">
        <v>0</v>
      </c>
      <c r="M21">
        <v>0</v>
      </c>
      <c r="N21">
        <v>0.106</v>
      </c>
      <c r="O21">
        <v>0</v>
      </c>
      <c r="P21">
        <v>0</v>
      </c>
      <c r="Q21">
        <v>0.106</v>
      </c>
      <c r="R21">
        <v>0</v>
      </c>
      <c r="S21">
        <v>0</v>
      </c>
      <c r="T21">
        <v>0.106</v>
      </c>
      <c r="U21">
        <v>0.0117</v>
      </c>
      <c r="V21">
        <v>0</v>
      </c>
      <c r="W21">
        <v>0.2749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0.212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</row>
    <row r="22">
      <c r="A22" t="str">
        <v>29.06.2023-015</v>
      </c>
      <c r="B22">
        <v>0.1758</v>
      </c>
      <c r="C22">
        <v>0.0016</v>
      </c>
      <c r="D22">
        <v>0.002</v>
      </c>
      <c r="E22">
        <v>0</v>
      </c>
      <c r="F22">
        <v>0</v>
      </c>
      <c r="G22">
        <v>0.001</v>
      </c>
      <c r="H22">
        <v>0</v>
      </c>
      <c r="I22">
        <v>0</v>
      </c>
      <c r="J22">
        <v>0</v>
      </c>
      <c r="K22">
        <v>0.003</v>
      </c>
      <c r="L22">
        <v>0</v>
      </c>
      <c r="M22">
        <v>0</v>
      </c>
      <c r="N22">
        <v>0.106</v>
      </c>
      <c r="O22">
        <v>0</v>
      </c>
      <c r="P22">
        <v>0</v>
      </c>
      <c r="Q22">
        <v>0.106</v>
      </c>
      <c r="R22">
        <v>0</v>
      </c>
      <c r="S22">
        <v>0</v>
      </c>
      <c r="T22">
        <v>0.106</v>
      </c>
      <c r="U22">
        <v>0.0117</v>
      </c>
      <c r="V22">
        <v>0</v>
      </c>
      <c r="W22">
        <v>0.2749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0.212</v>
      </c>
      <c r="AH22">
        <v>0</v>
      </c>
      <c r="AI22">
        <v>0</v>
      </c>
      <c r="AJ22">
        <v>1</v>
      </c>
    </row>
    <row r="23">
      <c r="A23" t="str">
        <v>29.06.2023-016</v>
      </c>
      <c r="B23">
        <v>0.1758</v>
      </c>
      <c r="C23">
        <v>0.0016</v>
      </c>
      <c r="D23">
        <v>0.002</v>
      </c>
      <c r="E23">
        <v>0</v>
      </c>
      <c r="F23">
        <v>0</v>
      </c>
      <c r="G23">
        <v>0.001</v>
      </c>
      <c r="H23">
        <v>0</v>
      </c>
      <c r="I23">
        <v>0</v>
      </c>
      <c r="J23">
        <v>0</v>
      </c>
      <c r="K23">
        <v>0.003</v>
      </c>
      <c r="L23">
        <v>0</v>
      </c>
      <c r="M23">
        <v>0</v>
      </c>
      <c r="N23">
        <v>0.106</v>
      </c>
      <c r="O23">
        <v>0</v>
      </c>
      <c r="P23">
        <v>0</v>
      </c>
      <c r="Q23">
        <v>0.106</v>
      </c>
      <c r="R23">
        <v>0</v>
      </c>
      <c r="S23">
        <v>0</v>
      </c>
      <c r="T23">
        <v>0.106</v>
      </c>
      <c r="U23">
        <v>0.0117</v>
      </c>
      <c r="V23">
        <v>0</v>
      </c>
      <c r="W23">
        <v>0.2749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0.212</v>
      </c>
      <c r="AJ23">
        <v>1</v>
      </c>
    </row>
    <row r="24">
      <c r="A24" t="str">
        <v>03.07.2023-017</v>
      </c>
      <c r="B24">
        <v>0.1758</v>
      </c>
      <c r="C24">
        <v>0.0016</v>
      </c>
      <c r="D24">
        <v>0.002</v>
      </c>
      <c r="E24">
        <v>0</v>
      </c>
      <c r="F24">
        <v>0</v>
      </c>
      <c r="G24">
        <v>0.001</v>
      </c>
      <c r="H24">
        <v>0</v>
      </c>
      <c r="I24">
        <v>0</v>
      </c>
      <c r="J24">
        <v>0</v>
      </c>
      <c r="K24">
        <v>0.003</v>
      </c>
      <c r="L24">
        <v>0</v>
      </c>
      <c r="M24">
        <v>0</v>
      </c>
      <c r="N24">
        <v>0.106</v>
      </c>
      <c r="O24">
        <v>0</v>
      </c>
      <c r="P24">
        <v>0</v>
      </c>
      <c r="Q24">
        <v>0.106</v>
      </c>
      <c r="R24">
        <v>0</v>
      </c>
      <c r="S24">
        <v>0</v>
      </c>
      <c r="T24">
        <v>0.106</v>
      </c>
      <c r="U24">
        <v>0.0117</v>
      </c>
      <c r="V24">
        <v>0</v>
      </c>
      <c r="W24">
        <v>0.2749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0.212</v>
      </c>
      <c r="AF24">
        <v>0</v>
      </c>
      <c r="AG24">
        <v>0</v>
      </c>
      <c r="AH24">
        <v>0</v>
      </c>
      <c r="AI24">
        <v>0</v>
      </c>
      <c r="AJ24">
        <v>1</v>
      </c>
    </row>
    <row r="25">
      <c r="A25" t="str">
        <v>17.07.2023-018</v>
      </c>
      <c r="B25">
        <v>0.1758</v>
      </c>
      <c r="C25">
        <v>0.0016</v>
      </c>
      <c r="D25">
        <v>0.002</v>
      </c>
      <c r="E25">
        <v>0</v>
      </c>
      <c r="F25">
        <v>0</v>
      </c>
      <c r="G25">
        <v>0.001</v>
      </c>
      <c r="H25">
        <v>0</v>
      </c>
      <c r="I25">
        <v>0</v>
      </c>
      <c r="J25">
        <v>0</v>
      </c>
      <c r="K25">
        <v>0.003</v>
      </c>
      <c r="L25">
        <v>0</v>
      </c>
      <c r="M25">
        <v>0</v>
      </c>
      <c r="N25">
        <v>0.106</v>
      </c>
      <c r="O25">
        <v>0</v>
      </c>
      <c r="P25">
        <v>0</v>
      </c>
      <c r="Q25">
        <v>0.106</v>
      </c>
      <c r="R25">
        <v>0</v>
      </c>
      <c r="S25">
        <v>0</v>
      </c>
      <c r="T25">
        <v>0.106</v>
      </c>
      <c r="U25">
        <v>0.0117</v>
      </c>
      <c r="V25">
        <v>0</v>
      </c>
      <c r="W25">
        <v>0</v>
      </c>
      <c r="X25">
        <v>0.2749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0.212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</row>
    <row r="26">
      <c r="A26" t="str">
        <v>17.07.2023-019</v>
      </c>
      <c r="B26">
        <v>0.1758</v>
      </c>
      <c r="C26">
        <v>0.0016</v>
      </c>
      <c r="D26">
        <v>0.002</v>
      </c>
      <c r="E26">
        <v>0</v>
      </c>
      <c r="F26">
        <v>0</v>
      </c>
      <c r="G26">
        <v>0.001</v>
      </c>
      <c r="H26">
        <v>0</v>
      </c>
      <c r="I26">
        <v>0</v>
      </c>
      <c r="J26">
        <v>0</v>
      </c>
      <c r="K26">
        <v>0.003</v>
      </c>
      <c r="L26">
        <v>0</v>
      </c>
      <c r="M26">
        <v>0</v>
      </c>
      <c r="N26">
        <v>0.106</v>
      </c>
      <c r="O26">
        <v>0</v>
      </c>
      <c r="P26">
        <v>0</v>
      </c>
      <c r="Q26">
        <v>0.106</v>
      </c>
      <c r="R26">
        <v>0</v>
      </c>
      <c r="S26">
        <v>0</v>
      </c>
      <c r="T26">
        <v>0.106</v>
      </c>
      <c r="U26">
        <v>0.0117</v>
      </c>
      <c r="V26">
        <v>0</v>
      </c>
      <c r="W26">
        <v>0</v>
      </c>
      <c r="X26">
        <v>0.2749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0.212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1</v>
      </c>
    </row>
    <row r="27">
      <c r="A27" t="str">
        <v>15.03.2023-020</v>
      </c>
      <c r="B27">
        <v>0.1753</v>
      </c>
      <c r="C27">
        <v>0.002</v>
      </c>
      <c r="D27">
        <v>0.002</v>
      </c>
      <c r="E27">
        <v>0</v>
      </c>
      <c r="F27">
        <v>0.001</v>
      </c>
      <c r="G27">
        <v>0</v>
      </c>
      <c r="H27">
        <v>0</v>
      </c>
      <c r="I27">
        <v>0</v>
      </c>
      <c r="J27">
        <v>0</v>
      </c>
      <c r="K27">
        <v>0.003</v>
      </c>
      <c r="L27">
        <v>0</v>
      </c>
      <c r="M27">
        <v>0</v>
      </c>
      <c r="N27">
        <v>0.106</v>
      </c>
      <c r="O27">
        <v>0</v>
      </c>
      <c r="P27">
        <v>0</v>
      </c>
      <c r="Q27">
        <v>0.106</v>
      </c>
      <c r="R27">
        <v>0</v>
      </c>
      <c r="S27">
        <v>0</v>
      </c>
      <c r="T27">
        <v>0.106</v>
      </c>
      <c r="U27">
        <v>0.0117</v>
      </c>
      <c r="V27">
        <v>0</v>
      </c>
      <c r="W27">
        <v>0.2749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0.212</v>
      </c>
      <c r="AJ27">
        <v>0.9999</v>
      </c>
    </row>
    <row r="28">
      <c r="A28" t="str">
        <v>18.07.2023-021</v>
      </c>
      <c r="B28">
        <v>0.1762</v>
      </c>
      <c r="C28">
        <v>0.002</v>
      </c>
      <c r="D28">
        <v>0.002</v>
      </c>
      <c r="E28">
        <v>0</v>
      </c>
      <c r="F28">
        <v>0</v>
      </c>
      <c r="G28">
        <v>0.0007</v>
      </c>
      <c r="H28">
        <v>0</v>
      </c>
      <c r="I28">
        <v>0</v>
      </c>
      <c r="J28">
        <v>0</v>
      </c>
      <c r="K28">
        <v>0.0025</v>
      </c>
      <c r="L28">
        <v>0</v>
      </c>
      <c r="M28">
        <v>0</v>
      </c>
      <c r="N28">
        <v>0.106</v>
      </c>
      <c r="O28">
        <v>0</v>
      </c>
      <c r="P28">
        <v>0</v>
      </c>
      <c r="Q28">
        <v>0.106</v>
      </c>
      <c r="R28">
        <v>0</v>
      </c>
      <c r="S28">
        <v>0</v>
      </c>
      <c r="T28">
        <v>0.106</v>
      </c>
      <c r="U28">
        <v>0.0117</v>
      </c>
      <c r="V28">
        <v>0</v>
      </c>
      <c r="W28">
        <v>0.2749</v>
      </c>
      <c r="X28">
        <v>0</v>
      </c>
      <c r="Y28">
        <v>0</v>
      </c>
      <c r="Z28">
        <v>0</v>
      </c>
      <c r="AA28">
        <v>0.02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0.192</v>
      </c>
      <c r="AJ28">
        <v>1</v>
      </c>
    </row>
    <row r="29">
      <c r="A29" t="str">
        <v>19.07.2023-022</v>
      </c>
      <c r="B29">
        <v>0.1762</v>
      </c>
      <c r="C29">
        <v>0.002</v>
      </c>
      <c r="D29">
        <v>0.002</v>
      </c>
      <c r="E29">
        <v>0</v>
      </c>
      <c r="F29">
        <v>0</v>
      </c>
      <c r="G29">
        <v>0.0007</v>
      </c>
      <c r="H29">
        <v>0</v>
      </c>
      <c r="I29">
        <v>0</v>
      </c>
      <c r="J29">
        <v>0</v>
      </c>
      <c r="K29">
        <v>0.0025</v>
      </c>
      <c r="L29">
        <v>0</v>
      </c>
      <c r="M29">
        <v>0</v>
      </c>
      <c r="N29">
        <v>0.106</v>
      </c>
      <c r="O29">
        <v>0</v>
      </c>
      <c r="P29">
        <v>0</v>
      </c>
      <c r="Q29">
        <v>0.106</v>
      </c>
      <c r="R29">
        <v>0</v>
      </c>
      <c r="S29">
        <v>0</v>
      </c>
      <c r="T29">
        <v>0.106</v>
      </c>
      <c r="U29">
        <v>0.0117</v>
      </c>
      <c r="V29">
        <v>0</v>
      </c>
      <c r="W29">
        <v>0.2749</v>
      </c>
      <c r="X29">
        <v>0</v>
      </c>
      <c r="Y29">
        <v>0</v>
      </c>
      <c r="Z29">
        <v>0</v>
      </c>
      <c r="AA29">
        <v>0.02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0.192</v>
      </c>
      <c r="AH29">
        <v>0</v>
      </c>
      <c r="AI29">
        <v>0</v>
      </c>
      <c r="AJ29">
        <v>1</v>
      </c>
    </row>
    <row r="30">
      <c r="A30" t="str">
        <v>19.07.2023-023</v>
      </c>
      <c r="B30">
        <v>0.1762</v>
      </c>
      <c r="C30">
        <v>0.002</v>
      </c>
      <c r="D30">
        <v>0.002</v>
      </c>
      <c r="E30">
        <v>0</v>
      </c>
      <c r="F30">
        <v>0</v>
      </c>
      <c r="G30">
        <v>0.0007</v>
      </c>
      <c r="H30">
        <v>0</v>
      </c>
      <c r="I30">
        <v>0</v>
      </c>
      <c r="J30">
        <v>0</v>
      </c>
      <c r="K30">
        <v>0.0025</v>
      </c>
      <c r="L30">
        <v>0</v>
      </c>
      <c r="M30">
        <v>0</v>
      </c>
      <c r="N30">
        <v>0.106</v>
      </c>
      <c r="O30">
        <v>0</v>
      </c>
      <c r="P30">
        <v>0</v>
      </c>
      <c r="Q30">
        <v>0.106</v>
      </c>
      <c r="R30">
        <v>0</v>
      </c>
      <c r="S30">
        <v>0</v>
      </c>
      <c r="T30">
        <v>0.106</v>
      </c>
      <c r="U30">
        <v>0.0117</v>
      </c>
      <c r="V30">
        <v>0</v>
      </c>
      <c r="W30">
        <v>0.2749</v>
      </c>
      <c r="X30">
        <v>0</v>
      </c>
      <c r="Y30">
        <v>0</v>
      </c>
      <c r="Z30">
        <v>0</v>
      </c>
      <c r="AA30">
        <v>0.02</v>
      </c>
      <c r="AB30">
        <v>0</v>
      </c>
      <c r="AC30">
        <v>0</v>
      </c>
      <c r="AD30">
        <v>0</v>
      </c>
      <c r="AE30">
        <v>0.192</v>
      </c>
      <c r="AF30">
        <v>0</v>
      </c>
      <c r="AG30">
        <v>0</v>
      </c>
      <c r="AH30">
        <v>0</v>
      </c>
      <c r="AI30">
        <v>0</v>
      </c>
      <c r="AJ30">
        <v>1</v>
      </c>
    </row>
    <row r="31">
      <c r="A31" t="str">
        <v>26.07.2023-024</v>
      </c>
      <c r="B31">
        <v>0.1756</v>
      </c>
      <c r="C31">
        <v>0.0016</v>
      </c>
      <c r="D31">
        <v>0.002</v>
      </c>
      <c r="E31">
        <v>0</v>
      </c>
      <c r="F31">
        <v>0</v>
      </c>
      <c r="G31">
        <v>0.0012</v>
      </c>
      <c r="H31">
        <v>0</v>
      </c>
      <c r="I31">
        <v>0</v>
      </c>
      <c r="J31">
        <v>0</v>
      </c>
      <c r="K31">
        <v>0.003</v>
      </c>
      <c r="L31">
        <v>0</v>
      </c>
      <c r="M31">
        <v>0</v>
      </c>
      <c r="N31">
        <v>0.12</v>
      </c>
      <c r="O31">
        <v>0</v>
      </c>
      <c r="P31">
        <v>0</v>
      </c>
      <c r="Q31">
        <v>0.106</v>
      </c>
      <c r="R31">
        <v>0</v>
      </c>
      <c r="S31">
        <v>0</v>
      </c>
      <c r="T31">
        <v>0.106</v>
      </c>
      <c r="U31">
        <v>0.0117</v>
      </c>
      <c r="V31">
        <v>0</v>
      </c>
      <c r="W31">
        <v>0</v>
      </c>
      <c r="X31">
        <v>0.2609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0.212</v>
      </c>
      <c r="AF31">
        <v>0</v>
      </c>
      <c r="AG31">
        <v>0</v>
      </c>
      <c r="AH31">
        <v>0</v>
      </c>
      <c r="AI31">
        <v>0</v>
      </c>
      <c r="AJ31">
        <v>1</v>
      </c>
    </row>
    <row r="32">
      <c r="A32" t="str">
        <v>27.07.2023-025</v>
      </c>
      <c r="B32">
        <v>0.1756</v>
      </c>
      <c r="C32">
        <v>0.0016</v>
      </c>
      <c r="D32">
        <v>0.002</v>
      </c>
      <c r="E32">
        <v>0</v>
      </c>
      <c r="F32">
        <v>0</v>
      </c>
      <c r="G32">
        <v>0.0012</v>
      </c>
      <c r="H32">
        <v>0</v>
      </c>
      <c r="I32">
        <v>0</v>
      </c>
      <c r="J32">
        <v>0</v>
      </c>
      <c r="K32">
        <v>0.003</v>
      </c>
      <c r="L32">
        <v>0</v>
      </c>
      <c r="M32">
        <v>0</v>
      </c>
      <c r="N32">
        <v>0.12</v>
      </c>
      <c r="O32">
        <v>0</v>
      </c>
      <c r="P32">
        <v>0</v>
      </c>
      <c r="Q32">
        <v>0.106</v>
      </c>
      <c r="R32">
        <v>0</v>
      </c>
      <c r="S32">
        <v>0</v>
      </c>
      <c r="T32">
        <v>0.106</v>
      </c>
      <c r="U32">
        <v>0.0117</v>
      </c>
      <c r="V32">
        <v>0</v>
      </c>
      <c r="W32">
        <v>0</v>
      </c>
      <c r="X32">
        <v>0</v>
      </c>
      <c r="Y32">
        <v>0.2609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0.212</v>
      </c>
      <c r="AF32">
        <v>0</v>
      </c>
      <c r="AG32">
        <v>0</v>
      </c>
      <c r="AH32">
        <v>0</v>
      </c>
      <c r="AI32">
        <v>0</v>
      </c>
      <c r="AJ32">
        <v>1</v>
      </c>
    </row>
    <row r="33">
      <c r="A33" t="str">
        <v>27.07.2023-026</v>
      </c>
      <c r="B33">
        <v>0.1756</v>
      </c>
      <c r="C33">
        <v>0.0016</v>
      </c>
      <c r="D33">
        <v>0.002</v>
      </c>
      <c r="E33">
        <v>0</v>
      </c>
      <c r="F33">
        <v>0</v>
      </c>
      <c r="G33">
        <v>0.0012</v>
      </c>
      <c r="H33">
        <v>0</v>
      </c>
      <c r="I33">
        <v>0</v>
      </c>
      <c r="J33">
        <v>0</v>
      </c>
      <c r="K33">
        <v>0.003</v>
      </c>
      <c r="L33">
        <v>0</v>
      </c>
      <c r="M33">
        <v>0</v>
      </c>
      <c r="N33">
        <v>0.12</v>
      </c>
      <c r="O33">
        <v>0</v>
      </c>
      <c r="P33">
        <v>0</v>
      </c>
      <c r="Q33">
        <v>0.106</v>
      </c>
      <c r="R33">
        <v>0</v>
      </c>
      <c r="S33">
        <v>0</v>
      </c>
      <c r="T33">
        <v>0.106</v>
      </c>
      <c r="U33">
        <v>0.0117</v>
      </c>
      <c r="V33">
        <v>0</v>
      </c>
      <c r="W33">
        <v>0</v>
      </c>
      <c r="X33">
        <v>0.2509</v>
      </c>
      <c r="Y33">
        <v>0</v>
      </c>
      <c r="Z33">
        <v>0.01</v>
      </c>
      <c r="AA33">
        <v>0</v>
      </c>
      <c r="AB33">
        <v>0</v>
      </c>
      <c r="AC33">
        <v>0</v>
      </c>
      <c r="AD33">
        <v>0</v>
      </c>
      <c r="AE33">
        <v>0.212</v>
      </c>
      <c r="AF33">
        <v>0</v>
      </c>
      <c r="AG33">
        <v>0</v>
      </c>
      <c r="AH33">
        <v>0</v>
      </c>
      <c r="AI33">
        <v>0</v>
      </c>
      <c r="AJ33">
        <v>1</v>
      </c>
    </row>
    <row r="34">
      <c r="A34" t="str">
        <v>30.07.2023-027</v>
      </c>
      <c r="B34">
        <v>0.1756</v>
      </c>
      <c r="C34">
        <v>0.0016</v>
      </c>
      <c r="D34">
        <v>0.002</v>
      </c>
      <c r="E34">
        <v>0</v>
      </c>
      <c r="F34">
        <v>0</v>
      </c>
      <c r="G34">
        <v>0.0012</v>
      </c>
      <c r="H34">
        <v>0</v>
      </c>
      <c r="I34">
        <v>0</v>
      </c>
      <c r="J34">
        <v>0</v>
      </c>
      <c r="K34">
        <v>0.003</v>
      </c>
      <c r="L34">
        <v>0</v>
      </c>
      <c r="M34">
        <v>0</v>
      </c>
      <c r="N34">
        <v>0.12</v>
      </c>
      <c r="O34">
        <v>0</v>
      </c>
      <c r="P34">
        <v>0</v>
      </c>
      <c r="Q34">
        <v>0.106</v>
      </c>
      <c r="R34">
        <v>0</v>
      </c>
      <c r="S34">
        <v>0</v>
      </c>
      <c r="T34">
        <v>0.106</v>
      </c>
      <c r="U34">
        <v>0.0117</v>
      </c>
      <c r="V34">
        <v>0</v>
      </c>
      <c r="W34">
        <v>0</v>
      </c>
      <c r="X34">
        <v>0</v>
      </c>
      <c r="Y34">
        <v>0.2509</v>
      </c>
      <c r="Z34">
        <v>0.01</v>
      </c>
      <c r="AA34">
        <v>0</v>
      </c>
      <c r="AB34">
        <v>0</v>
      </c>
      <c r="AC34">
        <v>0</v>
      </c>
      <c r="AD34">
        <v>0</v>
      </c>
      <c r="AE34">
        <v>0.212</v>
      </c>
      <c r="AF34">
        <v>0</v>
      </c>
      <c r="AG34">
        <v>0</v>
      </c>
      <c r="AH34">
        <v>0</v>
      </c>
      <c r="AI34">
        <v>0</v>
      </c>
      <c r="AJ34">
        <v>1</v>
      </c>
    </row>
    <row r="35">
      <c r="A35" t="str">
        <v>30.07.2023-028</v>
      </c>
      <c r="B35">
        <v>0.1756</v>
      </c>
      <c r="C35">
        <v>0.0016</v>
      </c>
      <c r="D35">
        <v>0.002</v>
      </c>
      <c r="E35">
        <v>0</v>
      </c>
      <c r="F35">
        <v>0</v>
      </c>
      <c r="G35">
        <v>0.0012</v>
      </c>
      <c r="H35">
        <v>0</v>
      </c>
      <c r="I35">
        <v>0</v>
      </c>
      <c r="J35">
        <v>0</v>
      </c>
      <c r="K35">
        <v>0.003</v>
      </c>
      <c r="L35">
        <v>0</v>
      </c>
      <c r="M35">
        <v>0</v>
      </c>
      <c r="N35">
        <v>0.12</v>
      </c>
      <c r="O35">
        <v>0</v>
      </c>
      <c r="P35">
        <v>0</v>
      </c>
      <c r="Q35">
        <v>0.106</v>
      </c>
      <c r="R35">
        <v>0</v>
      </c>
      <c r="S35">
        <v>0</v>
      </c>
      <c r="T35">
        <v>0.106</v>
      </c>
      <c r="U35">
        <v>0.0117</v>
      </c>
      <c r="V35">
        <v>0</v>
      </c>
      <c r="W35">
        <v>0</v>
      </c>
      <c r="X35">
        <v>0.2409</v>
      </c>
      <c r="Y35">
        <v>0</v>
      </c>
      <c r="Z35">
        <v>0</v>
      </c>
      <c r="AA35">
        <v>0</v>
      </c>
      <c r="AB35">
        <v>0.02</v>
      </c>
      <c r="AC35">
        <v>0</v>
      </c>
      <c r="AD35">
        <v>0</v>
      </c>
      <c r="AE35">
        <v>0.212</v>
      </c>
      <c r="AF35">
        <v>0</v>
      </c>
      <c r="AG35">
        <v>0</v>
      </c>
      <c r="AH35">
        <v>0</v>
      </c>
      <c r="AI35">
        <v>0</v>
      </c>
      <c r="AJ35">
        <v>1</v>
      </c>
    </row>
    <row r="36">
      <c r="A36" t="str">
        <v>02.08.2023-029</v>
      </c>
      <c r="B36">
        <v>0.1756</v>
      </c>
      <c r="C36">
        <v>0.002</v>
      </c>
      <c r="D36">
        <v>0.002</v>
      </c>
      <c r="E36">
        <v>0</v>
      </c>
      <c r="F36">
        <v>0</v>
      </c>
      <c r="G36">
        <v>0.001</v>
      </c>
      <c r="H36">
        <v>0</v>
      </c>
      <c r="I36">
        <v>0</v>
      </c>
      <c r="J36">
        <v>0</v>
      </c>
      <c r="K36">
        <v>0.0025</v>
      </c>
      <c r="L36">
        <v>0</v>
      </c>
      <c r="M36">
        <v>0</v>
      </c>
      <c r="N36">
        <v>0.106</v>
      </c>
      <c r="O36">
        <v>0</v>
      </c>
      <c r="P36">
        <v>0</v>
      </c>
      <c r="Q36">
        <v>0.106</v>
      </c>
      <c r="R36">
        <v>0</v>
      </c>
      <c r="S36">
        <v>0</v>
      </c>
      <c r="T36">
        <v>0.106</v>
      </c>
      <c r="U36">
        <v>0.0117</v>
      </c>
      <c r="V36">
        <v>0</v>
      </c>
      <c r="W36">
        <v>0.2749</v>
      </c>
      <c r="X36">
        <v>0</v>
      </c>
      <c r="Y36">
        <v>0</v>
      </c>
      <c r="Z36">
        <v>0</v>
      </c>
      <c r="AA36">
        <v>0.02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0.192</v>
      </c>
      <c r="AI36">
        <v>0</v>
      </c>
      <c r="AJ36">
        <v>0.9997</v>
      </c>
    </row>
    <row r="37">
      <c r="A37" t="str">
        <v>16.08.2023-030</v>
      </c>
      <c r="B37">
        <v>0.1672</v>
      </c>
      <c r="C37">
        <v>0.0016</v>
      </c>
      <c r="D37">
        <v>0.002</v>
      </c>
      <c r="E37">
        <v>0</v>
      </c>
      <c r="F37">
        <v>0</v>
      </c>
      <c r="G37">
        <v>0.001</v>
      </c>
      <c r="H37">
        <v>0</v>
      </c>
      <c r="I37">
        <v>0</v>
      </c>
      <c r="J37">
        <v>0</v>
      </c>
      <c r="K37">
        <v>0.0025</v>
      </c>
      <c r="L37">
        <v>0</v>
      </c>
      <c r="M37">
        <v>0</v>
      </c>
      <c r="N37">
        <v>0.12</v>
      </c>
      <c r="O37">
        <v>0</v>
      </c>
      <c r="P37">
        <v>0</v>
      </c>
      <c r="Q37">
        <v>0.106</v>
      </c>
      <c r="R37">
        <v>0</v>
      </c>
      <c r="S37">
        <v>0</v>
      </c>
      <c r="T37">
        <v>0.106</v>
      </c>
      <c r="U37">
        <v>0.0117</v>
      </c>
      <c r="V37">
        <v>0</v>
      </c>
      <c r="W37">
        <v>0.24</v>
      </c>
      <c r="X37">
        <v>0</v>
      </c>
      <c r="Y37">
        <v>0</v>
      </c>
      <c r="Z37">
        <v>0</v>
      </c>
      <c r="AA37">
        <v>0</v>
      </c>
      <c r="AB37">
        <v>0.03</v>
      </c>
      <c r="AC37">
        <v>0</v>
      </c>
      <c r="AD37">
        <v>0</v>
      </c>
      <c r="AE37">
        <v>0</v>
      </c>
      <c r="AF37">
        <v>0</v>
      </c>
      <c r="AG37">
        <v>0.212</v>
      </c>
      <c r="AH37">
        <v>0</v>
      </c>
      <c r="AI37">
        <v>0</v>
      </c>
      <c r="AJ37">
        <v>1</v>
      </c>
    </row>
    <row r="38">
      <c r="A38" t="str">
        <v>16.08.2023-031</v>
      </c>
      <c r="B38">
        <v>0.1672</v>
      </c>
      <c r="C38">
        <v>0.0016</v>
      </c>
      <c r="D38">
        <v>0.002</v>
      </c>
      <c r="E38">
        <v>0</v>
      </c>
      <c r="F38">
        <v>0</v>
      </c>
      <c r="G38">
        <v>0.001</v>
      </c>
      <c r="H38">
        <v>0</v>
      </c>
      <c r="I38">
        <v>0</v>
      </c>
      <c r="J38">
        <v>0</v>
      </c>
      <c r="K38">
        <v>0.0025</v>
      </c>
      <c r="L38">
        <v>0</v>
      </c>
      <c r="M38">
        <v>0</v>
      </c>
      <c r="N38">
        <v>0.12</v>
      </c>
      <c r="O38">
        <v>0</v>
      </c>
      <c r="P38">
        <v>0</v>
      </c>
      <c r="Q38">
        <v>0.106</v>
      </c>
      <c r="R38">
        <v>0</v>
      </c>
      <c r="S38">
        <v>0</v>
      </c>
      <c r="T38">
        <v>0.106</v>
      </c>
      <c r="U38">
        <v>0.0117</v>
      </c>
      <c r="V38">
        <v>0</v>
      </c>
      <c r="W38">
        <v>0.24</v>
      </c>
      <c r="X38">
        <v>0</v>
      </c>
      <c r="Y38">
        <v>0</v>
      </c>
      <c r="Z38">
        <v>0</v>
      </c>
      <c r="AA38">
        <v>0</v>
      </c>
      <c r="AB38">
        <v>0.03</v>
      </c>
      <c r="AC38">
        <v>0</v>
      </c>
      <c r="AD38">
        <v>0</v>
      </c>
      <c r="AE38">
        <v>0.212</v>
      </c>
      <c r="AF38">
        <v>0</v>
      </c>
      <c r="AG38">
        <v>0</v>
      </c>
      <c r="AH38">
        <v>0</v>
      </c>
      <c r="AI38">
        <v>0</v>
      </c>
      <c r="AJ38">
        <v>1</v>
      </c>
    </row>
    <row r="39">
      <c r="A39" t="str">
        <v>16.08.2023-032</v>
      </c>
      <c r="B39">
        <v>0.1756</v>
      </c>
      <c r="C39">
        <v>0.0016</v>
      </c>
      <c r="D39">
        <v>0.002</v>
      </c>
      <c r="E39">
        <v>0</v>
      </c>
      <c r="F39">
        <v>0</v>
      </c>
      <c r="G39">
        <v>0.0012</v>
      </c>
      <c r="H39">
        <v>0</v>
      </c>
      <c r="I39">
        <v>0</v>
      </c>
      <c r="J39">
        <v>0</v>
      </c>
      <c r="K39">
        <v>0.003</v>
      </c>
      <c r="L39">
        <v>0</v>
      </c>
      <c r="M39">
        <v>0</v>
      </c>
      <c r="N39">
        <v>0.12</v>
      </c>
      <c r="O39">
        <v>0</v>
      </c>
      <c r="P39">
        <v>0</v>
      </c>
      <c r="Q39">
        <v>0.106</v>
      </c>
      <c r="R39">
        <v>0</v>
      </c>
      <c r="S39">
        <v>0</v>
      </c>
      <c r="T39">
        <v>0.106</v>
      </c>
      <c r="U39">
        <v>0.0117</v>
      </c>
      <c r="V39">
        <v>0</v>
      </c>
      <c r="W39">
        <v>0.2509</v>
      </c>
      <c r="X39">
        <v>0</v>
      </c>
      <c r="Y39">
        <v>0</v>
      </c>
      <c r="Z39">
        <v>0.01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0.212</v>
      </c>
      <c r="AH39">
        <v>0</v>
      </c>
      <c r="AI39">
        <v>0</v>
      </c>
      <c r="AJ39">
        <v>1</v>
      </c>
    </row>
    <row r="40">
      <c r="A40" t="str">
        <v>16.08.2023-033</v>
      </c>
      <c r="B40">
        <v>0.1756</v>
      </c>
      <c r="C40">
        <v>0.0016</v>
      </c>
      <c r="D40">
        <v>0.002</v>
      </c>
      <c r="E40">
        <v>0</v>
      </c>
      <c r="F40">
        <v>0</v>
      </c>
      <c r="G40">
        <v>0.0012</v>
      </c>
      <c r="H40">
        <v>0</v>
      </c>
      <c r="I40">
        <v>0</v>
      </c>
      <c r="J40">
        <v>0</v>
      </c>
      <c r="K40">
        <v>0.003</v>
      </c>
      <c r="L40">
        <v>0</v>
      </c>
      <c r="M40">
        <v>0</v>
      </c>
      <c r="N40">
        <v>0.12</v>
      </c>
      <c r="O40">
        <v>0</v>
      </c>
      <c r="P40">
        <v>0</v>
      </c>
      <c r="Q40">
        <v>0.106</v>
      </c>
      <c r="R40">
        <v>0</v>
      </c>
      <c r="S40">
        <v>0</v>
      </c>
      <c r="T40">
        <v>0.106</v>
      </c>
      <c r="U40">
        <v>0.0117</v>
      </c>
      <c r="V40">
        <v>0</v>
      </c>
      <c r="W40">
        <v>0.2509</v>
      </c>
      <c r="X40">
        <v>0</v>
      </c>
      <c r="Y40">
        <v>0</v>
      </c>
      <c r="Z40">
        <v>0.01</v>
      </c>
      <c r="AA40">
        <v>0</v>
      </c>
      <c r="AB40">
        <v>0</v>
      </c>
      <c r="AC40">
        <v>0</v>
      </c>
      <c r="AD40">
        <v>0</v>
      </c>
      <c r="AE40">
        <v>0.212</v>
      </c>
      <c r="AF40">
        <v>0</v>
      </c>
      <c r="AG40">
        <v>0</v>
      </c>
      <c r="AH40">
        <v>0</v>
      </c>
      <c r="AI40">
        <v>0</v>
      </c>
      <c r="AJ40">
        <v>1</v>
      </c>
    </row>
    <row r="41">
      <c r="A41" t="str">
        <v>22.08.2023-034</v>
      </c>
      <c r="B41">
        <v>0.1361</v>
      </c>
      <c r="C41">
        <v>0.0016</v>
      </c>
      <c r="D41">
        <v>0.002</v>
      </c>
      <c r="E41">
        <v>0</v>
      </c>
      <c r="F41">
        <v>0</v>
      </c>
      <c r="G41">
        <v>0.0012</v>
      </c>
      <c r="H41">
        <v>0</v>
      </c>
      <c r="I41">
        <v>0</v>
      </c>
      <c r="J41">
        <v>0</v>
      </c>
      <c r="K41">
        <v>0.0025</v>
      </c>
      <c r="L41">
        <v>0</v>
      </c>
      <c r="M41">
        <v>0</v>
      </c>
      <c r="N41">
        <v>0.12</v>
      </c>
      <c r="O41">
        <v>0</v>
      </c>
      <c r="P41">
        <v>0</v>
      </c>
      <c r="Q41">
        <v>0.101</v>
      </c>
      <c r="R41">
        <v>0</v>
      </c>
      <c r="S41">
        <v>0</v>
      </c>
      <c r="T41">
        <v>0.101</v>
      </c>
      <c r="U41">
        <v>0.0117</v>
      </c>
      <c r="V41">
        <v>0</v>
      </c>
      <c r="W41">
        <v>0.2409</v>
      </c>
      <c r="X41">
        <v>0</v>
      </c>
      <c r="Y41">
        <v>0</v>
      </c>
      <c r="Z41">
        <v>0</v>
      </c>
      <c r="AA41">
        <v>0.03</v>
      </c>
      <c r="AB41">
        <v>0</v>
      </c>
      <c r="AC41">
        <v>0.04</v>
      </c>
      <c r="AD41">
        <v>0</v>
      </c>
      <c r="AE41">
        <v>0</v>
      </c>
      <c r="AF41">
        <v>0</v>
      </c>
      <c r="AG41">
        <v>0.212</v>
      </c>
      <c r="AH41">
        <v>0</v>
      </c>
      <c r="AI41">
        <v>0</v>
      </c>
      <c r="AJ41">
        <v>1</v>
      </c>
    </row>
    <row r="42">
      <c r="A42" t="str">
        <v>15.08.2023-035</v>
      </c>
      <c r="B42">
        <v>0.1361</v>
      </c>
      <c r="C42">
        <v>0.0016</v>
      </c>
      <c r="D42">
        <v>0.002</v>
      </c>
      <c r="E42">
        <v>0</v>
      </c>
      <c r="F42">
        <v>0</v>
      </c>
      <c r="G42">
        <v>0.0012</v>
      </c>
      <c r="H42">
        <v>0</v>
      </c>
      <c r="I42">
        <v>0</v>
      </c>
      <c r="J42">
        <v>0</v>
      </c>
      <c r="K42">
        <v>0.0025</v>
      </c>
      <c r="L42">
        <v>0</v>
      </c>
      <c r="M42">
        <v>0</v>
      </c>
      <c r="N42">
        <v>0.12</v>
      </c>
      <c r="O42">
        <v>0</v>
      </c>
      <c r="P42">
        <v>0</v>
      </c>
      <c r="Q42">
        <v>0.101</v>
      </c>
      <c r="R42">
        <v>0</v>
      </c>
      <c r="S42">
        <v>0</v>
      </c>
      <c r="T42">
        <v>0.101</v>
      </c>
      <c r="U42">
        <v>0.0117</v>
      </c>
      <c r="V42">
        <v>0</v>
      </c>
      <c r="W42">
        <v>0.2409</v>
      </c>
      <c r="X42">
        <v>0</v>
      </c>
      <c r="Y42">
        <v>0</v>
      </c>
      <c r="Z42">
        <v>0</v>
      </c>
      <c r="AA42">
        <v>0.03</v>
      </c>
      <c r="AB42">
        <v>0</v>
      </c>
      <c r="AC42">
        <v>0.04</v>
      </c>
      <c r="AD42">
        <v>0</v>
      </c>
      <c r="AE42">
        <v>0.212</v>
      </c>
      <c r="AF42">
        <v>0</v>
      </c>
      <c r="AG42">
        <v>0</v>
      </c>
      <c r="AH42">
        <v>0</v>
      </c>
      <c r="AI42">
        <v>0</v>
      </c>
      <c r="AJ42">
        <v>1</v>
      </c>
    </row>
    <row r="43">
      <c r="A43" t="str">
        <v>21.08.2023-036</v>
      </c>
      <c r="B43">
        <v>0.1755</v>
      </c>
      <c r="C43">
        <v>0.0016</v>
      </c>
      <c r="D43">
        <v>0.002</v>
      </c>
      <c r="E43">
        <v>0</v>
      </c>
      <c r="F43">
        <v>0</v>
      </c>
      <c r="G43">
        <v>0.0012</v>
      </c>
      <c r="H43">
        <v>0</v>
      </c>
      <c r="I43">
        <v>0</v>
      </c>
      <c r="J43">
        <v>0</v>
      </c>
      <c r="K43">
        <v>0.003</v>
      </c>
      <c r="L43">
        <v>0</v>
      </c>
      <c r="M43">
        <v>0</v>
      </c>
      <c r="N43">
        <v>0.12</v>
      </c>
      <c r="O43">
        <v>0</v>
      </c>
      <c r="P43">
        <v>0</v>
      </c>
      <c r="Q43">
        <v>0.09</v>
      </c>
      <c r="R43">
        <v>0</v>
      </c>
      <c r="S43">
        <v>0</v>
      </c>
      <c r="T43">
        <v>0.09</v>
      </c>
      <c r="U43">
        <v>0.0117</v>
      </c>
      <c r="V43">
        <v>0</v>
      </c>
      <c r="W43">
        <v>0</v>
      </c>
      <c r="X43">
        <v>0</v>
      </c>
      <c r="Y43">
        <v>0.25</v>
      </c>
      <c r="Z43">
        <v>0</v>
      </c>
      <c r="AA43">
        <v>0.03</v>
      </c>
      <c r="AB43">
        <v>0</v>
      </c>
      <c r="AC43">
        <v>0</v>
      </c>
      <c r="AD43">
        <v>0</v>
      </c>
      <c r="AE43">
        <v>0.225</v>
      </c>
      <c r="AF43">
        <v>0</v>
      </c>
      <c r="AG43">
        <v>0</v>
      </c>
      <c r="AH43">
        <v>0</v>
      </c>
      <c r="AI43">
        <v>0</v>
      </c>
      <c r="AJ43">
        <v>0.9999999999999999</v>
      </c>
    </row>
    <row r="44">
      <c r="A44" t="str">
        <v>22.08.2023-037</v>
      </c>
      <c r="B44">
        <v>0.1755</v>
      </c>
      <c r="C44">
        <v>0.0016</v>
      </c>
      <c r="D44">
        <v>0.002</v>
      </c>
      <c r="E44">
        <v>0</v>
      </c>
      <c r="F44">
        <v>0</v>
      </c>
      <c r="G44">
        <v>0.0012</v>
      </c>
      <c r="H44">
        <v>0</v>
      </c>
      <c r="I44">
        <v>0</v>
      </c>
      <c r="J44">
        <v>0</v>
      </c>
      <c r="K44">
        <v>0.003</v>
      </c>
      <c r="L44">
        <v>0</v>
      </c>
      <c r="M44">
        <v>0</v>
      </c>
      <c r="N44">
        <v>0.12</v>
      </c>
      <c r="O44">
        <v>0</v>
      </c>
      <c r="P44">
        <v>0</v>
      </c>
      <c r="Q44">
        <v>0.09</v>
      </c>
      <c r="R44">
        <v>0</v>
      </c>
      <c r="S44">
        <v>0</v>
      </c>
      <c r="T44">
        <v>0.09</v>
      </c>
      <c r="U44">
        <v>0.0117</v>
      </c>
      <c r="V44">
        <v>0</v>
      </c>
      <c r="W44">
        <v>0</v>
      </c>
      <c r="X44">
        <v>0</v>
      </c>
      <c r="Y44">
        <v>0.25</v>
      </c>
      <c r="Z44">
        <v>0</v>
      </c>
      <c r="AA44">
        <v>0.03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0.225</v>
      </c>
      <c r="AH44">
        <v>0</v>
      </c>
      <c r="AI44">
        <v>0</v>
      </c>
      <c r="AJ44">
        <v>0.9999999999999999</v>
      </c>
    </row>
    <row r="45">
      <c r="A45" t="str">
        <v>27.08.2023-038</v>
      </c>
      <c r="B45">
        <v>0.1616</v>
      </c>
      <c r="C45">
        <v>0.002</v>
      </c>
      <c r="D45">
        <v>0.002</v>
      </c>
      <c r="E45">
        <v>0</v>
      </c>
      <c r="F45">
        <v>0</v>
      </c>
      <c r="G45">
        <v>0.0014</v>
      </c>
      <c r="H45">
        <v>0</v>
      </c>
      <c r="I45">
        <v>0</v>
      </c>
      <c r="J45">
        <v>0</v>
      </c>
      <c r="K45">
        <v>0.003</v>
      </c>
      <c r="L45">
        <v>0</v>
      </c>
      <c r="M45">
        <v>0</v>
      </c>
      <c r="N45">
        <v>0.12</v>
      </c>
      <c r="O45">
        <v>0</v>
      </c>
      <c r="P45">
        <v>0</v>
      </c>
      <c r="Q45">
        <v>0.085</v>
      </c>
      <c r="R45">
        <v>0</v>
      </c>
      <c r="S45">
        <v>0</v>
      </c>
      <c r="T45">
        <v>0.085</v>
      </c>
      <c r="U45">
        <v>0.0117</v>
      </c>
      <c r="V45">
        <v>0</v>
      </c>
      <c r="W45">
        <v>0</v>
      </c>
      <c r="X45">
        <v>0</v>
      </c>
      <c r="Y45">
        <v>0.25</v>
      </c>
      <c r="Z45">
        <v>0</v>
      </c>
      <c r="AA45">
        <v>0.03</v>
      </c>
      <c r="AB45">
        <v>0</v>
      </c>
      <c r="AC45">
        <v>0</v>
      </c>
      <c r="AD45">
        <v>0</v>
      </c>
      <c r="AE45">
        <v>0.25</v>
      </c>
      <c r="AF45">
        <v>0</v>
      </c>
      <c r="AG45">
        <v>0</v>
      </c>
      <c r="AH45">
        <v>0</v>
      </c>
      <c r="AI45">
        <v>0</v>
      </c>
      <c r="AJ45">
        <v>1.0017</v>
      </c>
    </row>
    <row r="46">
      <c r="A46" t="str">
        <v>24.08.2023-039</v>
      </c>
      <c r="B46">
        <v>0.1616</v>
      </c>
      <c r="C46">
        <v>0.002</v>
      </c>
      <c r="D46">
        <v>0.002</v>
      </c>
      <c r="E46">
        <v>0</v>
      </c>
      <c r="F46">
        <v>0</v>
      </c>
      <c r="G46">
        <v>0.0014</v>
      </c>
      <c r="H46">
        <v>0</v>
      </c>
      <c r="I46">
        <v>0</v>
      </c>
      <c r="J46">
        <v>0</v>
      </c>
      <c r="K46">
        <v>0.003</v>
      </c>
      <c r="L46">
        <v>0</v>
      </c>
      <c r="M46">
        <v>0</v>
      </c>
      <c r="N46">
        <v>0.12</v>
      </c>
      <c r="O46">
        <v>0</v>
      </c>
      <c r="P46">
        <v>0</v>
      </c>
      <c r="Q46">
        <v>0.085</v>
      </c>
      <c r="R46">
        <v>0</v>
      </c>
      <c r="S46">
        <v>0</v>
      </c>
      <c r="T46">
        <v>0.085</v>
      </c>
      <c r="U46">
        <v>0.007</v>
      </c>
      <c r="V46">
        <v>0</v>
      </c>
      <c r="W46">
        <v>0</v>
      </c>
      <c r="X46">
        <v>0</v>
      </c>
      <c r="Y46">
        <v>0.25</v>
      </c>
      <c r="Z46">
        <v>0</v>
      </c>
      <c r="AA46">
        <v>0.03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0.253</v>
      </c>
      <c r="AH46">
        <v>0</v>
      </c>
      <c r="AI46">
        <v>0</v>
      </c>
      <c r="AJ46">
        <v>1</v>
      </c>
    </row>
    <row r="47">
      <c r="A47" t="str">
        <v>27.08.2023-040</v>
      </c>
      <c r="B47">
        <v>0.1616</v>
      </c>
      <c r="C47">
        <v>0.002</v>
      </c>
      <c r="D47">
        <v>0.002</v>
      </c>
      <c r="E47">
        <v>0</v>
      </c>
      <c r="F47">
        <v>0</v>
      </c>
      <c r="G47">
        <v>0.0014</v>
      </c>
      <c r="H47">
        <v>0</v>
      </c>
      <c r="I47">
        <v>0</v>
      </c>
      <c r="J47">
        <v>0</v>
      </c>
      <c r="K47">
        <v>0.003</v>
      </c>
      <c r="L47">
        <v>0</v>
      </c>
      <c r="M47">
        <v>0</v>
      </c>
      <c r="N47">
        <v>0.12</v>
      </c>
      <c r="O47">
        <v>0</v>
      </c>
      <c r="P47">
        <v>0</v>
      </c>
      <c r="Q47">
        <v>0.085</v>
      </c>
      <c r="R47">
        <v>0</v>
      </c>
      <c r="S47">
        <v>0</v>
      </c>
      <c r="T47">
        <v>0.085</v>
      </c>
      <c r="U47">
        <v>0.007</v>
      </c>
      <c r="V47">
        <v>0</v>
      </c>
      <c r="W47">
        <v>0.25</v>
      </c>
      <c r="X47">
        <v>0</v>
      </c>
      <c r="Y47">
        <v>0</v>
      </c>
      <c r="Z47">
        <v>0</v>
      </c>
      <c r="AA47">
        <v>0.03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0.253</v>
      </c>
      <c r="AH47">
        <v>0</v>
      </c>
      <c r="AI47">
        <v>0</v>
      </c>
      <c r="AJ47">
        <v>1</v>
      </c>
    </row>
    <row r="48">
      <c r="A48" t="str">
        <v>24.08.2023-041</v>
      </c>
      <c r="B48">
        <v>0.1616</v>
      </c>
      <c r="C48">
        <v>0.002</v>
      </c>
      <c r="D48">
        <v>0.002</v>
      </c>
      <c r="E48">
        <v>0</v>
      </c>
      <c r="F48">
        <v>0</v>
      </c>
      <c r="G48">
        <v>0.0014</v>
      </c>
      <c r="H48">
        <v>0</v>
      </c>
      <c r="I48">
        <v>0</v>
      </c>
      <c r="J48">
        <v>0</v>
      </c>
      <c r="K48">
        <v>0.003</v>
      </c>
      <c r="L48">
        <v>0</v>
      </c>
      <c r="M48">
        <v>0</v>
      </c>
      <c r="N48">
        <v>0</v>
      </c>
      <c r="O48">
        <v>0</v>
      </c>
      <c r="P48">
        <v>0.12</v>
      </c>
      <c r="Q48">
        <v>0.085</v>
      </c>
      <c r="R48">
        <v>0</v>
      </c>
      <c r="S48">
        <v>0</v>
      </c>
      <c r="T48">
        <v>0.085</v>
      </c>
      <c r="U48">
        <v>0.007</v>
      </c>
      <c r="V48">
        <v>0</v>
      </c>
      <c r="W48">
        <v>0</v>
      </c>
      <c r="X48">
        <v>0</v>
      </c>
      <c r="Y48">
        <v>0.25</v>
      </c>
      <c r="Z48">
        <v>0</v>
      </c>
      <c r="AA48">
        <v>0.03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0.253</v>
      </c>
      <c r="AH48">
        <v>0</v>
      </c>
      <c r="AI48">
        <v>0</v>
      </c>
      <c r="AJ48">
        <v>1</v>
      </c>
    </row>
    <row r="49">
      <c r="A49" t="str">
        <v>27.08.2023-042</v>
      </c>
      <c r="B49">
        <v>0.1616</v>
      </c>
      <c r="C49">
        <v>0.002</v>
      </c>
      <c r="D49">
        <v>0.002</v>
      </c>
      <c r="E49">
        <v>0</v>
      </c>
      <c r="F49">
        <v>0</v>
      </c>
      <c r="G49">
        <v>0.0014</v>
      </c>
      <c r="H49">
        <v>0</v>
      </c>
      <c r="I49">
        <v>0</v>
      </c>
      <c r="J49">
        <v>0</v>
      </c>
      <c r="K49">
        <v>0.003</v>
      </c>
      <c r="L49">
        <v>0</v>
      </c>
      <c r="M49">
        <v>0</v>
      </c>
      <c r="N49">
        <v>0</v>
      </c>
      <c r="O49">
        <v>0</v>
      </c>
      <c r="P49">
        <v>0.12</v>
      </c>
      <c r="Q49">
        <v>0.085</v>
      </c>
      <c r="R49">
        <v>0</v>
      </c>
      <c r="S49">
        <v>0</v>
      </c>
      <c r="T49">
        <v>0.085</v>
      </c>
      <c r="U49">
        <v>0.007</v>
      </c>
      <c r="V49">
        <v>0</v>
      </c>
      <c r="W49">
        <v>0.25</v>
      </c>
      <c r="X49">
        <v>0</v>
      </c>
      <c r="Y49">
        <v>0</v>
      </c>
      <c r="Z49">
        <v>0</v>
      </c>
      <c r="AA49">
        <v>0.03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0.253</v>
      </c>
      <c r="AH49">
        <v>0</v>
      </c>
      <c r="AI49">
        <v>0</v>
      </c>
      <c r="AJ49">
        <v>1</v>
      </c>
    </row>
    <row r="50">
      <c r="A50" t="str">
        <v>13.09.2023-043</v>
      </c>
      <c r="B50">
        <v>0.1751</v>
      </c>
      <c r="C50">
        <v>0.0016</v>
      </c>
      <c r="D50">
        <v>0.002</v>
      </c>
      <c r="E50">
        <v>0</v>
      </c>
      <c r="F50">
        <v>0</v>
      </c>
      <c r="G50">
        <v>0.0016</v>
      </c>
      <c r="H50">
        <v>0</v>
      </c>
      <c r="I50">
        <v>0</v>
      </c>
      <c r="J50">
        <v>0</v>
      </c>
      <c r="K50">
        <v>0.003</v>
      </c>
      <c r="L50">
        <v>0</v>
      </c>
      <c r="M50">
        <v>0</v>
      </c>
      <c r="N50">
        <v>0.12</v>
      </c>
      <c r="O50">
        <v>0</v>
      </c>
      <c r="P50">
        <v>0</v>
      </c>
      <c r="Q50">
        <v>0.09</v>
      </c>
      <c r="R50">
        <v>0</v>
      </c>
      <c r="S50">
        <v>0</v>
      </c>
      <c r="T50">
        <v>0.09</v>
      </c>
      <c r="U50">
        <v>0.0117</v>
      </c>
      <c r="V50">
        <v>0</v>
      </c>
      <c r="W50">
        <v>0.25</v>
      </c>
      <c r="X50">
        <v>0</v>
      </c>
      <c r="Y50">
        <v>0</v>
      </c>
      <c r="Z50">
        <v>0</v>
      </c>
      <c r="AA50">
        <v>0.03</v>
      </c>
      <c r="AB50">
        <v>0</v>
      </c>
      <c r="AC50">
        <v>0</v>
      </c>
      <c r="AD50">
        <v>0</v>
      </c>
      <c r="AE50">
        <v>0.225</v>
      </c>
      <c r="AF50">
        <v>0</v>
      </c>
      <c r="AG50">
        <v>0</v>
      </c>
      <c r="AH50">
        <v>0</v>
      </c>
      <c r="AI50">
        <v>0</v>
      </c>
      <c r="AJ50">
        <v>0.9999999999999999</v>
      </c>
    </row>
    <row r="51">
      <c r="A51" t="str">
        <v>14.09.2023-044</v>
      </c>
      <c r="B51">
        <v>0.1553</v>
      </c>
      <c r="C51">
        <v>0.0016</v>
      </c>
      <c r="D51">
        <v>0.002</v>
      </c>
      <c r="E51">
        <v>0</v>
      </c>
      <c r="F51">
        <v>0</v>
      </c>
      <c r="G51">
        <v>0.0019</v>
      </c>
      <c r="H51">
        <v>0</v>
      </c>
      <c r="I51">
        <v>0</v>
      </c>
      <c r="J51">
        <v>0</v>
      </c>
      <c r="K51">
        <v>0.0025</v>
      </c>
      <c r="L51">
        <v>0</v>
      </c>
      <c r="M51">
        <v>0</v>
      </c>
      <c r="N51">
        <v>0.12</v>
      </c>
      <c r="O51">
        <v>0</v>
      </c>
      <c r="P51">
        <v>0</v>
      </c>
      <c r="Q51">
        <v>0.1</v>
      </c>
      <c r="R51">
        <v>0</v>
      </c>
      <c r="S51">
        <v>0</v>
      </c>
      <c r="T51">
        <v>0.1</v>
      </c>
      <c r="U51">
        <v>0.0117</v>
      </c>
      <c r="V51">
        <v>0</v>
      </c>
      <c r="W51">
        <v>0.24</v>
      </c>
      <c r="X51">
        <v>0</v>
      </c>
      <c r="Y51">
        <v>0</v>
      </c>
      <c r="Z51">
        <v>0</v>
      </c>
      <c r="AA51">
        <v>0.03</v>
      </c>
      <c r="AB51">
        <v>0</v>
      </c>
      <c r="AC51">
        <v>0.02</v>
      </c>
      <c r="AD51">
        <v>0</v>
      </c>
      <c r="AE51">
        <v>0</v>
      </c>
      <c r="AF51">
        <v>0</v>
      </c>
      <c r="AG51">
        <v>0.215</v>
      </c>
      <c r="AH51">
        <v>0</v>
      </c>
      <c r="AI51">
        <v>0</v>
      </c>
      <c r="AJ51">
        <v>0.9999999999999999</v>
      </c>
    </row>
    <row r="52">
      <c r="A52" t="str">
        <v>INTERCHAR-045</v>
      </c>
      <c r="AJ52">
        <v>0</v>
      </c>
    </row>
    <row r="53">
      <c r="A53" t="str">
        <v>26.09.2023-046</v>
      </c>
      <c r="B53">
        <v>0.156</v>
      </c>
      <c r="C53">
        <v>0.0016</v>
      </c>
      <c r="D53">
        <v>0.002</v>
      </c>
      <c r="E53">
        <v>0</v>
      </c>
      <c r="F53">
        <v>0</v>
      </c>
      <c r="G53">
        <v>0.0012</v>
      </c>
      <c r="H53">
        <v>0</v>
      </c>
      <c r="I53">
        <v>0</v>
      </c>
      <c r="J53">
        <v>0</v>
      </c>
      <c r="K53">
        <v>0.0025</v>
      </c>
      <c r="L53">
        <v>0</v>
      </c>
      <c r="M53">
        <v>0</v>
      </c>
      <c r="N53">
        <v>0.12</v>
      </c>
      <c r="O53">
        <v>0</v>
      </c>
      <c r="P53">
        <v>0</v>
      </c>
      <c r="Q53">
        <v>0.09</v>
      </c>
      <c r="R53">
        <v>0</v>
      </c>
      <c r="S53">
        <v>0</v>
      </c>
      <c r="T53">
        <v>0.09</v>
      </c>
      <c r="U53">
        <v>0.0117</v>
      </c>
      <c r="V53">
        <v>0</v>
      </c>
      <c r="W53">
        <v>0</v>
      </c>
      <c r="X53">
        <v>0</v>
      </c>
      <c r="Y53">
        <v>0.25</v>
      </c>
      <c r="Z53">
        <v>0</v>
      </c>
      <c r="AA53">
        <v>0.03</v>
      </c>
      <c r="AB53">
        <v>0</v>
      </c>
      <c r="AC53">
        <v>0.02</v>
      </c>
      <c r="AD53">
        <v>0</v>
      </c>
      <c r="AE53">
        <v>0</v>
      </c>
      <c r="AF53">
        <v>0</v>
      </c>
      <c r="AG53">
        <v>0.225</v>
      </c>
      <c r="AH53">
        <v>0</v>
      </c>
      <c r="AI53">
        <v>0</v>
      </c>
      <c r="AJ53">
        <v>0.9999999999999999</v>
      </c>
    </row>
    <row r="54">
      <c r="A54" t="str">
        <v>27.09.2023-047</v>
      </c>
      <c r="B54">
        <v>0.1755</v>
      </c>
      <c r="C54">
        <v>0.0016</v>
      </c>
      <c r="D54">
        <v>0.002</v>
      </c>
      <c r="E54">
        <v>0</v>
      </c>
      <c r="F54">
        <v>0</v>
      </c>
      <c r="G54">
        <v>0.0012</v>
      </c>
      <c r="H54">
        <v>0</v>
      </c>
      <c r="I54">
        <v>0</v>
      </c>
      <c r="J54">
        <v>0</v>
      </c>
      <c r="K54">
        <v>0.003</v>
      </c>
      <c r="L54">
        <v>0</v>
      </c>
      <c r="M54">
        <v>0</v>
      </c>
      <c r="N54">
        <v>0.12</v>
      </c>
      <c r="O54">
        <v>0</v>
      </c>
      <c r="P54">
        <v>0</v>
      </c>
      <c r="Q54">
        <v>0.09</v>
      </c>
      <c r="R54">
        <v>0</v>
      </c>
      <c r="S54">
        <v>0</v>
      </c>
      <c r="T54">
        <v>0.09</v>
      </c>
      <c r="U54">
        <v>0.0117</v>
      </c>
      <c r="V54">
        <v>0</v>
      </c>
      <c r="W54">
        <v>0</v>
      </c>
      <c r="X54">
        <v>0</v>
      </c>
      <c r="Y54">
        <v>0.25</v>
      </c>
      <c r="Z54">
        <v>0</v>
      </c>
      <c r="AA54">
        <v>0.03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0.225</v>
      </c>
      <c r="AI54">
        <v>0</v>
      </c>
      <c r="AJ54">
        <v>0.9999999999999999</v>
      </c>
    </row>
    <row r="55">
      <c r="A55" t="str">
        <v>27.09.2023-048</v>
      </c>
      <c r="B55">
        <v>0.156</v>
      </c>
      <c r="C55">
        <v>0.0016</v>
      </c>
      <c r="D55">
        <v>0.002</v>
      </c>
      <c r="E55">
        <v>0</v>
      </c>
      <c r="F55">
        <v>0</v>
      </c>
      <c r="G55">
        <v>0.0012</v>
      </c>
      <c r="H55">
        <v>0</v>
      </c>
      <c r="I55">
        <v>0</v>
      </c>
      <c r="J55">
        <v>0</v>
      </c>
      <c r="K55">
        <v>0.0025</v>
      </c>
      <c r="L55">
        <v>0</v>
      </c>
      <c r="M55">
        <v>0</v>
      </c>
      <c r="N55">
        <v>0.12</v>
      </c>
      <c r="O55">
        <v>0</v>
      </c>
      <c r="P55">
        <v>0</v>
      </c>
      <c r="Q55">
        <v>0.09</v>
      </c>
      <c r="R55">
        <v>0</v>
      </c>
      <c r="S55">
        <v>0</v>
      </c>
      <c r="T55">
        <v>0.09</v>
      </c>
      <c r="U55">
        <v>0.0117</v>
      </c>
      <c r="V55">
        <v>0</v>
      </c>
      <c r="W55">
        <v>0</v>
      </c>
      <c r="X55">
        <v>0</v>
      </c>
      <c r="Y55">
        <v>0.25</v>
      </c>
      <c r="Z55">
        <v>0</v>
      </c>
      <c r="AA55">
        <v>0.03</v>
      </c>
      <c r="AB55">
        <v>0</v>
      </c>
      <c r="AC55">
        <v>0.02</v>
      </c>
      <c r="AD55">
        <v>0</v>
      </c>
      <c r="AE55">
        <v>0</v>
      </c>
      <c r="AF55">
        <v>0</v>
      </c>
      <c r="AG55">
        <v>0</v>
      </c>
      <c r="AH55">
        <v>0.225</v>
      </c>
      <c r="AI55">
        <v>0</v>
      </c>
      <c r="AJ55">
        <v>0.9999999999999999</v>
      </c>
    </row>
    <row r="56">
      <c r="A56" t="str">
        <v>28.09.2023-049</v>
      </c>
      <c r="B56">
        <v>0.1751</v>
      </c>
      <c r="C56">
        <v>0.0016</v>
      </c>
      <c r="D56">
        <v>0.002</v>
      </c>
      <c r="E56">
        <v>0</v>
      </c>
      <c r="F56">
        <v>0</v>
      </c>
      <c r="G56">
        <v>0.0016</v>
      </c>
      <c r="H56">
        <v>0</v>
      </c>
      <c r="I56">
        <v>0</v>
      </c>
      <c r="J56">
        <v>0</v>
      </c>
      <c r="K56">
        <v>0.003</v>
      </c>
      <c r="L56">
        <v>0</v>
      </c>
      <c r="M56">
        <v>0</v>
      </c>
      <c r="N56">
        <v>0</v>
      </c>
      <c r="O56">
        <v>0</v>
      </c>
      <c r="P56">
        <v>0.12</v>
      </c>
      <c r="Q56">
        <v>0.09</v>
      </c>
      <c r="R56">
        <v>0</v>
      </c>
      <c r="S56">
        <v>0</v>
      </c>
      <c r="T56">
        <v>0.085</v>
      </c>
      <c r="U56">
        <v>0.0117</v>
      </c>
      <c r="V56">
        <v>0</v>
      </c>
      <c r="W56">
        <v>0.255</v>
      </c>
      <c r="X56">
        <v>0</v>
      </c>
      <c r="Y56">
        <v>0</v>
      </c>
      <c r="Z56">
        <v>0</v>
      </c>
      <c r="AA56">
        <v>0.03</v>
      </c>
      <c r="AB56">
        <v>0</v>
      </c>
      <c r="AC56">
        <v>0</v>
      </c>
      <c r="AD56">
        <v>0</v>
      </c>
      <c r="AE56">
        <v>0.225</v>
      </c>
      <c r="AF56">
        <v>0</v>
      </c>
      <c r="AG56">
        <v>0</v>
      </c>
      <c r="AH56">
        <v>0</v>
      </c>
      <c r="AI56">
        <v>0</v>
      </c>
      <c r="AJ56">
        <v>1</v>
      </c>
    </row>
    <row r="57">
      <c r="A57" t="str">
        <v>28.09.2023-050</v>
      </c>
      <c r="B57">
        <v>0.1751</v>
      </c>
      <c r="C57">
        <v>0.0016</v>
      </c>
      <c r="D57">
        <v>0.002</v>
      </c>
      <c r="E57">
        <v>0</v>
      </c>
      <c r="F57">
        <v>0</v>
      </c>
      <c r="G57">
        <v>0.0016</v>
      </c>
      <c r="H57">
        <v>0</v>
      </c>
      <c r="I57">
        <v>0</v>
      </c>
      <c r="J57">
        <v>0</v>
      </c>
      <c r="K57">
        <v>0.003</v>
      </c>
      <c r="L57">
        <v>0</v>
      </c>
      <c r="M57">
        <v>0</v>
      </c>
      <c r="N57">
        <v>0</v>
      </c>
      <c r="O57">
        <v>0</v>
      </c>
      <c r="P57">
        <v>0.12</v>
      </c>
      <c r="Q57">
        <v>0.09</v>
      </c>
      <c r="R57">
        <v>0</v>
      </c>
      <c r="S57">
        <v>0</v>
      </c>
      <c r="T57">
        <v>0.085</v>
      </c>
      <c r="U57">
        <v>0.0117</v>
      </c>
      <c r="V57">
        <v>0</v>
      </c>
      <c r="W57">
        <v>0.255</v>
      </c>
      <c r="X57">
        <v>0</v>
      </c>
      <c r="Y57">
        <v>0</v>
      </c>
      <c r="Z57">
        <v>0</v>
      </c>
      <c r="AA57">
        <v>0.03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0.225</v>
      </c>
      <c r="AH57">
        <v>0</v>
      </c>
      <c r="AI57">
        <v>0</v>
      </c>
      <c r="AJ57">
        <v>1</v>
      </c>
    </row>
    <row r="58">
      <c r="A58" t="str">
        <v>07.12.2023-051</v>
      </c>
      <c r="B58">
        <v>0.1256</v>
      </c>
      <c r="C58">
        <v>0.0016</v>
      </c>
      <c r="D58">
        <v>0</v>
      </c>
      <c r="E58">
        <v>0.002</v>
      </c>
      <c r="F58">
        <v>0</v>
      </c>
      <c r="G58">
        <v>0.0016</v>
      </c>
      <c r="H58">
        <v>0</v>
      </c>
      <c r="I58">
        <v>0</v>
      </c>
      <c r="J58">
        <v>0</v>
      </c>
      <c r="K58">
        <v>0.0025</v>
      </c>
      <c r="L58">
        <v>0</v>
      </c>
      <c r="M58">
        <v>0</v>
      </c>
      <c r="N58">
        <v>0.12</v>
      </c>
      <c r="O58">
        <v>0</v>
      </c>
      <c r="P58">
        <v>0</v>
      </c>
      <c r="Q58">
        <v>0.1</v>
      </c>
      <c r="R58">
        <v>0</v>
      </c>
      <c r="S58">
        <v>0</v>
      </c>
      <c r="T58">
        <v>0.1</v>
      </c>
      <c r="U58">
        <v>0.0117</v>
      </c>
      <c r="V58">
        <v>0</v>
      </c>
      <c r="W58">
        <v>0.25</v>
      </c>
      <c r="X58">
        <v>0</v>
      </c>
      <c r="Y58">
        <v>0</v>
      </c>
      <c r="Z58">
        <v>0</v>
      </c>
      <c r="AA58">
        <v>0.03</v>
      </c>
      <c r="AB58">
        <v>0</v>
      </c>
      <c r="AC58">
        <v>0.03</v>
      </c>
      <c r="AD58">
        <v>0</v>
      </c>
      <c r="AE58">
        <v>0.225</v>
      </c>
      <c r="AF58">
        <v>0</v>
      </c>
      <c r="AG58">
        <v>0</v>
      </c>
      <c r="AH58">
        <v>0</v>
      </c>
      <c r="AI58">
        <v>0</v>
      </c>
      <c r="AJ58">
        <v>0.9999999999999999</v>
      </c>
    </row>
    <row r="59">
      <c r="A59" t="str">
        <v>11.12.2023-052</v>
      </c>
      <c r="B59">
        <v>0.1456</v>
      </c>
      <c r="C59">
        <v>0.0016</v>
      </c>
      <c r="D59">
        <v>0</v>
      </c>
      <c r="E59">
        <v>0.002</v>
      </c>
      <c r="F59">
        <v>0</v>
      </c>
      <c r="G59">
        <v>0.0016</v>
      </c>
      <c r="H59">
        <v>0</v>
      </c>
      <c r="I59">
        <v>0</v>
      </c>
      <c r="J59">
        <v>0</v>
      </c>
      <c r="K59">
        <v>0.0025</v>
      </c>
      <c r="L59">
        <v>0</v>
      </c>
      <c r="M59">
        <v>0</v>
      </c>
      <c r="N59">
        <v>0.12</v>
      </c>
      <c r="O59">
        <v>0</v>
      </c>
      <c r="P59">
        <v>0</v>
      </c>
      <c r="Q59">
        <v>0.1</v>
      </c>
      <c r="R59">
        <v>0</v>
      </c>
      <c r="S59">
        <v>0</v>
      </c>
      <c r="T59">
        <v>0.1</v>
      </c>
      <c r="U59">
        <v>0.0117</v>
      </c>
      <c r="V59">
        <v>0</v>
      </c>
      <c r="W59">
        <v>0.25</v>
      </c>
      <c r="X59">
        <v>0</v>
      </c>
      <c r="Y59">
        <v>0</v>
      </c>
      <c r="Z59">
        <v>0</v>
      </c>
      <c r="AA59">
        <v>0.03</v>
      </c>
      <c r="AB59">
        <v>0</v>
      </c>
      <c r="AC59">
        <v>0.01</v>
      </c>
      <c r="AD59">
        <v>0</v>
      </c>
      <c r="AE59">
        <v>0.225</v>
      </c>
      <c r="AF59">
        <v>0</v>
      </c>
      <c r="AG59">
        <v>0</v>
      </c>
      <c r="AH59">
        <v>0</v>
      </c>
      <c r="AI59">
        <v>0</v>
      </c>
      <c r="AJ59">
        <v>0.9999999999999999</v>
      </c>
    </row>
    <row r="60">
      <c r="A60" t="str">
        <v>11.12.2023-053</v>
      </c>
      <c r="B60">
        <v>0.1173</v>
      </c>
      <c r="C60">
        <v>0.0016</v>
      </c>
      <c r="D60">
        <v>0</v>
      </c>
      <c r="E60">
        <v>0.0017</v>
      </c>
      <c r="F60">
        <v>0</v>
      </c>
      <c r="G60">
        <v>0.0019</v>
      </c>
      <c r="H60">
        <v>0</v>
      </c>
      <c r="I60">
        <v>0</v>
      </c>
      <c r="J60">
        <v>0</v>
      </c>
      <c r="K60">
        <v>0.0025</v>
      </c>
      <c r="L60">
        <v>0</v>
      </c>
      <c r="M60">
        <v>0</v>
      </c>
      <c r="N60">
        <v>0.12</v>
      </c>
      <c r="O60">
        <v>0</v>
      </c>
      <c r="P60">
        <v>0</v>
      </c>
      <c r="Q60">
        <v>0.1</v>
      </c>
      <c r="R60">
        <v>0</v>
      </c>
      <c r="S60">
        <v>0</v>
      </c>
      <c r="T60">
        <v>0.1</v>
      </c>
      <c r="U60">
        <v>0</v>
      </c>
      <c r="V60">
        <v>0</v>
      </c>
      <c r="W60">
        <v>0.25</v>
      </c>
      <c r="X60">
        <v>0</v>
      </c>
      <c r="Y60">
        <v>0</v>
      </c>
      <c r="Z60">
        <v>0</v>
      </c>
      <c r="AA60">
        <v>0.03</v>
      </c>
      <c r="AB60">
        <v>0</v>
      </c>
      <c r="AC60">
        <v>0.03</v>
      </c>
      <c r="AD60">
        <v>0</v>
      </c>
      <c r="AE60">
        <v>0</v>
      </c>
      <c r="AF60">
        <v>0</v>
      </c>
      <c r="AG60">
        <v>0.245</v>
      </c>
      <c r="AH60">
        <v>0</v>
      </c>
      <c r="AI60">
        <v>0</v>
      </c>
      <c r="AJ60">
        <v>1</v>
      </c>
    </row>
    <row r="61">
      <c r="A61" t="str">
        <v>12.12.2023-054</v>
      </c>
      <c r="B61">
        <v>0.1373</v>
      </c>
      <c r="C61">
        <v>0.0016</v>
      </c>
      <c r="D61">
        <v>0</v>
      </c>
      <c r="E61">
        <v>0.0017</v>
      </c>
      <c r="F61">
        <v>0</v>
      </c>
      <c r="G61">
        <v>0.0019</v>
      </c>
      <c r="H61">
        <v>0</v>
      </c>
      <c r="I61">
        <v>0</v>
      </c>
      <c r="J61">
        <v>0</v>
      </c>
      <c r="K61">
        <v>0.0025</v>
      </c>
      <c r="L61">
        <v>0</v>
      </c>
      <c r="M61">
        <v>0</v>
      </c>
      <c r="N61">
        <v>0.12</v>
      </c>
      <c r="O61">
        <v>0</v>
      </c>
      <c r="P61">
        <v>0</v>
      </c>
      <c r="Q61">
        <v>0.1</v>
      </c>
      <c r="R61">
        <v>0</v>
      </c>
      <c r="S61">
        <v>0</v>
      </c>
      <c r="T61">
        <v>0.1</v>
      </c>
      <c r="U61">
        <v>0</v>
      </c>
      <c r="V61">
        <v>0</v>
      </c>
      <c r="W61">
        <v>0.25</v>
      </c>
      <c r="X61">
        <v>0</v>
      </c>
      <c r="Y61">
        <v>0</v>
      </c>
      <c r="Z61">
        <v>0</v>
      </c>
      <c r="AA61">
        <v>0.03</v>
      </c>
      <c r="AB61">
        <v>0</v>
      </c>
      <c r="AC61">
        <v>0.01</v>
      </c>
      <c r="AD61">
        <v>0</v>
      </c>
      <c r="AE61">
        <v>0</v>
      </c>
      <c r="AF61">
        <v>0</v>
      </c>
      <c r="AG61">
        <v>0.245</v>
      </c>
      <c r="AH61">
        <v>0</v>
      </c>
      <c r="AI61">
        <v>0</v>
      </c>
      <c r="AJ61">
        <v>1</v>
      </c>
    </row>
    <row r="62">
      <c r="A62" t="str">
        <v>26.12.2023-055</v>
      </c>
      <c r="B62">
        <v>0.1256</v>
      </c>
      <c r="C62">
        <v>0.0016</v>
      </c>
      <c r="D62">
        <v>0</v>
      </c>
      <c r="E62">
        <v>0.002</v>
      </c>
      <c r="F62">
        <v>0</v>
      </c>
      <c r="G62">
        <v>0.0016</v>
      </c>
      <c r="H62">
        <v>0</v>
      </c>
      <c r="I62">
        <v>0</v>
      </c>
      <c r="J62">
        <v>0</v>
      </c>
      <c r="K62">
        <v>0.0025</v>
      </c>
      <c r="L62">
        <v>0</v>
      </c>
      <c r="M62">
        <v>0</v>
      </c>
      <c r="N62">
        <v>0.12</v>
      </c>
      <c r="O62">
        <v>0</v>
      </c>
      <c r="P62">
        <v>0</v>
      </c>
      <c r="Q62">
        <v>0.1</v>
      </c>
      <c r="R62">
        <v>0</v>
      </c>
      <c r="S62">
        <v>0</v>
      </c>
      <c r="T62">
        <v>0.1</v>
      </c>
      <c r="U62">
        <v>0.0117</v>
      </c>
      <c r="V62">
        <v>0</v>
      </c>
      <c r="W62">
        <v>0</v>
      </c>
      <c r="X62">
        <v>0</v>
      </c>
      <c r="Y62">
        <v>0.25</v>
      </c>
      <c r="Z62">
        <v>0</v>
      </c>
      <c r="AA62">
        <v>0.03</v>
      </c>
      <c r="AB62">
        <v>0</v>
      </c>
      <c r="AC62">
        <v>0.03</v>
      </c>
      <c r="AD62">
        <v>0</v>
      </c>
      <c r="AE62">
        <v>0.225</v>
      </c>
      <c r="AF62">
        <v>0</v>
      </c>
      <c r="AG62">
        <v>0</v>
      </c>
      <c r="AH62">
        <v>0</v>
      </c>
      <c r="AI62">
        <v>0</v>
      </c>
      <c r="AJ62">
        <v>0.9999999999999999</v>
      </c>
    </row>
    <row r="63">
      <c r="A63" t="str">
        <v>26.12.2023-056</v>
      </c>
      <c r="B63">
        <v>0.1456</v>
      </c>
      <c r="C63">
        <v>0.0016</v>
      </c>
      <c r="D63">
        <v>0</v>
      </c>
      <c r="E63">
        <v>0.002</v>
      </c>
      <c r="F63">
        <v>0</v>
      </c>
      <c r="G63">
        <v>0.0016</v>
      </c>
      <c r="H63">
        <v>0</v>
      </c>
      <c r="I63">
        <v>0</v>
      </c>
      <c r="J63">
        <v>0</v>
      </c>
      <c r="K63">
        <v>0.0025</v>
      </c>
      <c r="L63">
        <v>0</v>
      </c>
      <c r="M63">
        <v>0</v>
      </c>
      <c r="N63">
        <v>0.12</v>
      </c>
      <c r="O63">
        <v>0</v>
      </c>
      <c r="P63">
        <v>0</v>
      </c>
      <c r="Q63">
        <v>0.1</v>
      </c>
      <c r="R63">
        <v>0</v>
      </c>
      <c r="S63">
        <v>0</v>
      </c>
      <c r="T63">
        <v>0.1</v>
      </c>
      <c r="U63">
        <v>0.0117</v>
      </c>
      <c r="V63">
        <v>0</v>
      </c>
      <c r="W63">
        <v>0</v>
      </c>
      <c r="X63">
        <v>0</v>
      </c>
      <c r="Y63">
        <v>0.25</v>
      </c>
      <c r="Z63">
        <v>0</v>
      </c>
      <c r="AA63">
        <v>0.03</v>
      </c>
      <c r="AB63">
        <v>0</v>
      </c>
      <c r="AC63">
        <v>0.01</v>
      </c>
      <c r="AD63">
        <v>0</v>
      </c>
      <c r="AE63">
        <v>0.225</v>
      </c>
      <c r="AF63">
        <v>0</v>
      </c>
      <c r="AG63">
        <v>0</v>
      </c>
      <c r="AH63">
        <v>0</v>
      </c>
      <c r="AI63">
        <v>0</v>
      </c>
      <c r="AJ63">
        <v>0.9999999999999999</v>
      </c>
    </row>
    <row r="64">
      <c r="A64" t="str">
        <v>27.12.2023-057</v>
      </c>
      <c r="B64">
        <v>0.1173</v>
      </c>
      <c r="C64">
        <v>0.0016</v>
      </c>
      <c r="D64">
        <v>0</v>
      </c>
      <c r="E64">
        <v>0.0017</v>
      </c>
      <c r="F64">
        <v>0</v>
      </c>
      <c r="G64">
        <v>0.0019</v>
      </c>
      <c r="H64">
        <v>0</v>
      </c>
      <c r="I64">
        <v>0</v>
      </c>
      <c r="J64">
        <v>0</v>
      </c>
      <c r="K64">
        <v>0.0025</v>
      </c>
      <c r="L64">
        <v>0</v>
      </c>
      <c r="M64">
        <v>0</v>
      </c>
      <c r="N64">
        <v>0.12</v>
      </c>
      <c r="O64">
        <v>0</v>
      </c>
      <c r="P64">
        <v>0</v>
      </c>
      <c r="Q64">
        <v>0.1</v>
      </c>
      <c r="R64">
        <v>0</v>
      </c>
      <c r="S64">
        <v>0</v>
      </c>
      <c r="T64">
        <v>0.1</v>
      </c>
      <c r="U64">
        <v>0</v>
      </c>
      <c r="V64">
        <v>0</v>
      </c>
      <c r="W64">
        <v>0</v>
      </c>
      <c r="X64">
        <v>0</v>
      </c>
      <c r="Y64">
        <v>0.25</v>
      </c>
      <c r="Z64">
        <v>0</v>
      </c>
      <c r="AA64">
        <v>0.03</v>
      </c>
      <c r="AB64">
        <v>0</v>
      </c>
      <c r="AC64">
        <v>0.03</v>
      </c>
      <c r="AD64">
        <v>0</v>
      </c>
      <c r="AE64">
        <v>0</v>
      </c>
      <c r="AF64">
        <v>0</v>
      </c>
      <c r="AG64">
        <v>0</v>
      </c>
      <c r="AH64">
        <v>0.245</v>
      </c>
      <c r="AI64">
        <v>0</v>
      </c>
      <c r="AJ64">
        <v>1</v>
      </c>
    </row>
    <row r="65">
      <c r="A65" t="str">
        <v>28.12.2023-058</v>
      </c>
      <c r="B65">
        <v>0.1373</v>
      </c>
      <c r="C65">
        <v>0.0016</v>
      </c>
      <c r="D65">
        <v>0</v>
      </c>
      <c r="E65">
        <v>0.0017</v>
      </c>
      <c r="F65">
        <v>0</v>
      </c>
      <c r="G65">
        <v>0.0019</v>
      </c>
      <c r="H65">
        <v>0</v>
      </c>
      <c r="I65">
        <v>0</v>
      </c>
      <c r="J65">
        <v>0</v>
      </c>
      <c r="K65">
        <v>0.0025</v>
      </c>
      <c r="L65">
        <v>0</v>
      </c>
      <c r="M65">
        <v>0</v>
      </c>
      <c r="N65">
        <v>0.12</v>
      </c>
      <c r="O65">
        <v>0</v>
      </c>
      <c r="P65">
        <v>0</v>
      </c>
      <c r="Q65">
        <v>0.1</v>
      </c>
      <c r="R65">
        <v>0</v>
      </c>
      <c r="S65">
        <v>0</v>
      </c>
      <c r="T65">
        <v>0.1</v>
      </c>
      <c r="U65">
        <v>0</v>
      </c>
      <c r="V65">
        <v>0</v>
      </c>
      <c r="W65">
        <v>0</v>
      </c>
      <c r="X65">
        <v>0</v>
      </c>
      <c r="Y65">
        <v>0.25</v>
      </c>
      <c r="Z65">
        <v>0</v>
      </c>
      <c r="AA65">
        <v>0.03</v>
      </c>
      <c r="AB65">
        <v>0</v>
      </c>
      <c r="AC65">
        <v>0.01</v>
      </c>
      <c r="AD65">
        <v>0</v>
      </c>
      <c r="AE65">
        <v>0</v>
      </c>
      <c r="AF65">
        <v>0</v>
      </c>
      <c r="AG65">
        <v>0</v>
      </c>
      <c r="AH65">
        <v>0.245</v>
      </c>
      <c r="AI65">
        <v>0</v>
      </c>
      <c r="AJ65">
        <v>1</v>
      </c>
    </row>
    <row r="66">
      <c r="A66" t="str">
        <v>28.12.2023-059</v>
      </c>
      <c r="B66">
        <v>0.165</v>
      </c>
      <c r="C66">
        <v>0.0016</v>
      </c>
      <c r="D66">
        <v>0</v>
      </c>
      <c r="E66">
        <v>0.002</v>
      </c>
      <c r="F66">
        <v>0</v>
      </c>
      <c r="G66">
        <v>0.0017</v>
      </c>
      <c r="H66">
        <v>0</v>
      </c>
      <c r="I66">
        <v>0</v>
      </c>
      <c r="J66">
        <v>0</v>
      </c>
      <c r="K66">
        <v>0.003</v>
      </c>
      <c r="L66">
        <v>0</v>
      </c>
      <c r="M66">
        <v>0</v>
      </c>
      <c r="N66">
        <v>0.12</v>
      </c>
      <c r="O66">
        <v>0</v>
      </c>
      <c r="P66">
        <v>0</v>
      </c>
      <c r="Q66">
        <v>0.09</v>
      </c>
      <c r="R66">
        <v>0</v>
      </c>
      <c r="S66">
        <v>0</v>
      </c>
      <c r="T66">
        <v>0.09</v>
      </c>
      <c r="U66">
        <v>0.0117</v>
      </c>
      <c r="V66">
        <v>0</v>
      </c>
      <c r="W66">
        <v>0</v>
      </c>
      <c r="X66">
        <v>0</v>
      </c>
      <c r="Y66">
        <v>0.25</v>
      </c>
      <c r="Z66">
        <v>0</v>
      </c>
      <c r="AA66">
        <v>0.04</v>
      </c>
      <c r="AB66">
        <v>0</v>
      </c>
      <c r="AC66">
        <v>0</v>
      </c>
      <c r="AD66">
        <v>0</v>
      </c>
      <c r="AE66">
        <v>0.225</v>
      </c>
      <c r="AF66">
        <v>0</v>
      </c>
      <c r="AG66">
        <v>0</v>
      </c>
      <c r="AH66">
        <v>0</v>
      </c>
      <c r="AI66">
        <v>0</v>
      </c>
      <c r="AJ66">
        <v>0.9999999999999999</v>
      </c>
    </row>
    <row r="67">
      <c r="A67" t="str">
        <v>31.12.2023-060</v>
      </c>
      <c r="B67">
        <v>0.175</v>
      </c>
      <c r="C67">
        <v>0.0016</v>
      </c>
      <c r="D67">
        <v>0</v>
      </c>
      <c r="E67">
        <v>0.002</v>
      </c>
      <c r="F67">
        <v>0</v>
      </c>
      <c r="G67">
        <v>0.0017</v>
      </c>
      <c r="H67">
        <v>0</v>
      </c>
      <c r="I67">
        <v>0</v>
      </c>
      <c r="J67">
        <v>0</v>
      </c>
      <c r="K67">
        <v>0.003</v>
      </c>
      <c r="L67">
        <v>0</v>
      </c>
      <c r="M67">
        <v>0</v>
      </c>
      <c r="N67">
        <v>0.12</v>
      </c>
      <c r="O67">
        <v>0</v>
      </c>
      <c r="P67">
        <v>0</v>
      </c>
      <c r="Q67">
        <v>0.09</v>
      </c>
      <c r="R67">
        <v>0</v>
      </c>
      <c r="S67">
        <v>0</v>
      </c>
      <c r="T67">
        <v>0.09</v>
      </c>
      <c r="U67">
        <v>0</v>
      </c>
      <c r="V67">
        <v>0.0117</v>
      </c>
      <c r="W67">
        <v>0</v>
      </c>
      <c r="X67">
        <v>0</v>
      </c>
      <c r="Y67">
        <v>0.25</v>
      </c>
      <c r="Z67">
        <v>0</v>
      </c>
      <c r="AA67">
        <v>0.03</v>
      </c>
      <c r="AB67">
        <v>0</v>
      </c>
      <c r="AC67">
        <v>0</v>
      </c>
      <c r="AD67">
        <v>0</v>
      </c>
      <c r="AE67">
        <v>0.225</v>
      </c>
      <c r="AF67">
        <v>0</v>
      </c>
      <c r="AG67">
        <v>0</v>
      </c>
      <c r="AH67">
        <v>0</v>
      </c>
      <c r="AI67">
        <v>0</v>
      </c>
      <c r="AJ67">
        <v>0.9999999999999999</v>
      </c>
    </row>
    <row r="68">
      <c r="A68" t="str">
        <v>31.12.2023-061</v>
      </c>
      <c r="B68">
        <v>0.165</v>
      </c>
      <c r="C68">
        <v>0.0016</v>
      </c>
      <c r="D68">
        <v>0</v>
      </c>
      <c r="E68">
        <v>0.002</v>
      </c>
      <c r="F68">
        <v>0</v>
      </c>
      <c r="G68">
        <v>0.0017</v>
      </c>
      <c r="H68">
        <v>0</v>
      </c>
      <c r="I68">
        <v>0</v>
      </c>
      <c r="J68">
        <v>0</v>
      </c>
      <c r="K68">
        <v>0.003</v>
      </c>
      <c r="L68">
        <v>0</v>
      </c>
      <c r="M68">
        <v>0</v>
      </c>
      <c r="N68">
        <v>0.12</v>
      </c>
      <c r="O68">
        <v>0</v>
      </c>
      <c r="P68">
        <v>0</v>
      </c>
      <c r="Q68">
        <v>0.09</v>
      </c>
      <c r="R68">
        <v>0</v>
      </c>
      <c r="S68">
        <v>0</v>
      </c>
      <c r="T68">
        <v>0.09</v>
      </c>
      <c r="U68">
        <v>0.0117</v>
      </c>
      <c r="V68">
        <v>0</v>
      </c>
      <c r="W68">
        <v>0.25</v>
      </c>
      <c r="X68">
        <v>0</v>
      </c>
      <c r="Y68">
        <v>0</v>
      </c>
      <c r="Z68">
        <v>0</v>
      </c>
      <c r="AA68">
        <v>0.04</v>
      </c>
      <c r="AB68">
        <v>0</v>
      </c>
      <c r="AC68">
        <v>0</v>
      </c>
      <c r="AD68">
        <v>0</v>
      </c>
      <c r="AE68">
        <v>0.225</v>
      </c>
      <c r="AF68">
        <v>0</v>
      </c>
      <c r="AG68">
        <v>0</v>
      </c>
      <c r="AH68">
        <v>0</v>
      </c>
      <c r="AI68">
        <v>0</v>
      </c>
      <c r="AJ68">
        <v>0.9999999999999999</v>
      </c>
    </row>
    <row r="69">
      <c r="A69" t="str">
        <v>31.12.2023-062</v>
      </c>
      <c r="B69">
        <v>0.175</v>
      </c>
      <c r="C69">
        <v>0.0016</v>
      </c>
      <c r="D69">
        <v>0</v>
      </c>
      <c r="E69">
        <v>0.002</v>
      </c>
      <c r="F69">
        <v>0</v>
      </c>
      <c r="G69">
        <v>0.0017</v>
      </c>
      <c r="H69">
        <v>0</v>
      </c>
      <c r="I69">
        <v>0</v>
      </c>
      <c r="J69">
        <v>0</v>
      </c>
      <c r="K69">
        <v>0.003</v>
      </c>
      <c r="L69">
        <v>0</v>
      </c>
      <c r="M69">
        <v>0</v>
      </c>
      <c r="N69">
        <v>0.12</v>
      </c>
      <c r="O69">
        <v>0</v>
      </c>
      <c r="P69">
        <v>0</v>
      </c>
      <c r="Q69">
        <v>0</v>
      </c>
      <c r="R69">
        <v>0.09</v>
      </c>
      <c r="S69">
        <v>0</v>
      </c>
      <c r="T69">
        <v>0.09</v>
      </c>
      <c r="U69">
        <v>0</v>
      </c>
      <c r="V69">
        <v>0.0117</v>
      </c>
      <c r="W69">
        <v>0.25</v>
      </c>
      <c r="X69">
        <v>0</v>
      </c>
      <c r="Y69">
        <v>0</v>
      </c>
      <c r="Z69">
        <v>0</v>
      </c>
      <c r="AA69">
        <v>0.03</v>
      </c>
      <c r="AB69">
        <v>0</v>
      </c>
      <c r="AC69">
        <v>0</v>
      </c>
      <c r="AD69">
        <v>0</v>
      </c>
      <c r="AE69">
        <v>0.225</v>
      </c>
      <c r="AF69">
        <v>0</v>
      </c>
      <c r="AG69">
        <v>0</v>
      </c>
      <c r="AH69">
        <v>0</v>
      </c>
      <c r="AI69">
        <v>0</v>
      </c>
      <c r="AJ69">
        <v>0.9999999999999999</v>
      </c>
    </row>
    <row r="70">
      <c r="A70" t="str">
        <v>02.01.2024-036</v>
      </c>
      <c r="B70">
        <v>0.1755</v>
      </c>
      <c r="C70">
        <v>0.0016</v>
      </c>
      <c r="D70">
        <v>0</v>
      </c>
      <c r="E70">
        <v>0.002</v>
      </c>
      <c r="F70">
        <v>0</v>
      </c>
      <c r="G70">
        <v>0.0012</v>
      </c>
      <c r="H70">
        <v>0</v>
      </c>
      <c r="I70">
        <v>0</v>
      </c>
      <c r="J70">
        <v>0</v>
      </c>
      <c r="K70">
        <v>0.003</v>
      </c>
      <c r="L70">
        <v>0</v>
      </c>
      <c r="M70">
        <v>0</v>
      </c>
      <c r="N70">
        <v>0.12</v>
      </c>
      <c r="O70">
        <v>0</v>
      </c>
      <c r="P70">
        <v>0</v>
      </c>
      <c r="Q70">
        <v>0.09</v>
      </c>
      <c r="R70">
        <v>0</v>
      </c>
      <c r="S70">
        <v>0</v>
      </c>
      <c r="T70">
        <v>0.09</v>
      </c>
      <c r="U70">
        <v>0.0117</v>
      </c>
      <c r="V70">
        <v>0</v>
      </c>
      <c r="W70">
        <v>0</v>
      </c>
      <c r="X70">
        <v>0</v>
      </c>
      <c r="Y70">
        <v>0.25</v>
      </c>
      <c r="Z70">
        <v>0</v>
      </c>
      <c r="AA70">
        <v>0.03</v>
      </c>
      <c r="AB70">
        <v>0</v>
      </c>
      <c r="AC70">
        <v>0</v>
      </c>
      <c r="AD70">
        <v>0</v>
      </c>
      <c r="AE70">
        <v>0.225</v>
      </c>
      <c r="AF70">
        <v>0</v>
      </c>
      <c r="AG70">
        <v>0</v>
      </c>
      <c r="AH70">
        <v>0</v>
      </c>
      <c r="AI70">
        <v>0</v>
      </c>
      <c r="AJ70">
        <v>0.9999999999999999</v>
      </c>
    </row>
    <row r="71">
      <c r="A71" t="str">
        <v>03.01.2024-056</v>
      </c>
      <c r="B71">
        <v>0.1456</v>
      </c>
      <c r="C71">
        <v>0.0016</v>
      </c>
      <c r="D71">
        <v>0</v>
      </c>
      <c r="E71">
        <v>0.002</v>
      </c>
      <c r="F71">
        <v>0</v>
      </c>
      <c r="G71">
        <v>0.0016</v>
      </c>
      <c r="H71">
        <v>0</v>
      </c>
      <c r="I71">
        <v>0</v>
      </c>
      <c r="J71">
        <v>0</v>
      </c>
      <c r="K71">
        <v>0.0025</v>
      </c>
      <c r="L71">
        <v>0</v>
      </c>
      <c r="M71">
        <v>0</v>
      </c>
      <c r="N71">
        <v>0.12</v>
      </c>
      <c r="O71">
        <v>0</v>
      </c>
      <c r="P71">
        <v>0</v>
      </c>
      <c r="Q71">
        <v>0.1</v>
      </c>
      <c r="R71">
        <v>0</v>
      </c>
      <c r="S71">
        <v>0</v>
      </c>
      <c r="T71">
        <v>0.1</v>
      </c>
      <c r="U71">
        <v>0.0117</v>
      </c>
      <c r="V71">
        <v>0</v>
      </c>
      <c r="W71">
        <v>0</v>
      </c>
      <c r="X71">
        <v>0</v>
      </c>
      <c r="Y71">
        <v>0.25</v>
      </c>
      <c r="Z71">
        <v>0</v>
      </c>
      <c r="AA71">
        <v>0.03</v>
      </c>
      <c r="AB71">
        <v>0</v>
      </c>
      <c r="AC71">
        <v>0.01</v>
      </c>
      <c r="AD71">
        <v>0</v>
      </c>
      <c r="AE71">
        <v>0.225</v>
      </c>
      <c r="AF71">
        <v>0</v>
      </c>
      <c r="AG71">
        <v>0</v>
      </c>
      <c r="AH71">
        <v>0</v>
      </c>
      <c r="AI71">
        <v>0</v>
      </c>
      <c r="AJ71">
        <v>0.9999999999999999</v>
      </c>
    </row>
    <row r="72">
      <c r="A72" t="str">
        <v>04.01.2024-055</v>
      </c>
      <c r="B72">
        <v>0.1256</v>
      </c>
      <c r="C72">
        <v>0.0016</v>
      </c>
      <c r="D72">
        <v>0</v>
      </c>
      <c r="E72">
        <v>0.002</v>
      </c>
      <c r="F72">
        <v>0</v>
      </c>
      <c r="G72">
        <v>0.0016</v>
      </c>
      <c r="H72">
        <v>0</v>
      </c>
      <c r="I72">
        <v>0</v>
      </c>
      <c r="J72">
        <v>0</v>
      </c>
      <c r="K72">
        <v>0.0025</v>
      </c>
      <c r="L72">
        <v>0</v>
      </c>
      <c r="M72">
        <v>0</v>
      </c>
      <c r="N72">
        <v>0.12</v>
      </c>
      <c r="O72">
        <v>0</v>
      </c>
      <c r="P72">
        <v>0</v>
      </c>
      <c r="Q72">
        <v>0.1</v>
      </c>
      <c r="R72">
        <v>0</v>
      </c>
      <c r="S72">
        <v>0</v>
      </c>
      <c r="T72">
        <v>0.1</v>
      </c>
      <c r="U72">
        <v>0.0117</v>
      </c>
      <c r="V72">
        <v>0</v>
      </c>
      <c r="W72">
        <v>0</v>
      </c>
      <c r="X72">
        <v>0</v>
      </c>
      <c r="Y72">
        <v>0.25</v>
      </c>
      <c r="Z72">
        <v>0</v>
      </c>
      <c r="AA72">
        <v>0.03</v>
      </c>
      <c r="AB72">
        <v>0</v>
      </c>
      <c r="AC72">
        <v>0.03</v>
      </c>
      <c r="AD72">
        <v>0</v>
      </c>
      <c r="AE72">
        <v>0.225</v>
      </c>
      <c r="AF72">
        <v>0</v>
      </c>
      <c r="AG72">
        <v>0</v>
      </c>
      <c r="AH72">
        <v>0</v>
      </c>
      <c r="AI72">
        <v>0</v>
      </c>
      <c r="AJ72">
        <v>0.9999999999999999</v>
      </c>
    </row>
    <row r="73">
      <c r="A73" t="str">
        <v>04.01.2024-058</v>
      </c>
      <c r="B73">
        <v>0.1369</v>
      </c>
      <c r="C73">
        <v>0.0016</v>
      </c>
      <c r="D73">
        <v>0</v>
      </c>
      <c r="E73">
        <v>0.0017</v>
      </c>
      <c r="F73">
        <v>0</v>
      </c>
      <c r="G73">
        <v>0.0023</v>
      </c>
      <c r="H73">
        <v>0</v>
      </c>
      <c r="I73">
        <v>0</v>
      </c>
      <c r="J73">
        <v>0</v>
      </c>
      <c r="K73">
        <v>0.0025</v>
      </c>
      <c r="L73">
        <v>0</v>
      </c>
      <c r="M73">
        <v>0</v>
      </c>
      <c r="N73">
        <v>0.12</v>
      </c>
      <c r="O73">
        <v>0</v>
      </c>
      <c r="P73">
        <v>0</v>
      </c>
      <c r="Q73">
        <v>0.1</v>
      </c>
      <c r="R73">
        <v>0</v>
      </c>
      <c r="S73">
        <v>0</v>
      </c>
      <c r="T73">
        <v>0.1</v>
      </c>
      <c r="U73">
        <v>0</v>
      </c>
      <c r="V73">
        <v>0</v>
      </c>
      <c r="W73">
        <v>0</v>
      </c>
      <c r="X73">
        <v>0</v>
      </c>
      <c r="Y73">
        <v>0.25</v>
      </c>
      <c r="Z73">
        <v>0</v>
      </c>
      <c r="AA73">
        <v>0.03</v>
      </c>
      <c r="AB73">
        <v>0</v>
      </c>
      <c r="AC73">
        <v>0.01</v>
      </c>
      <c r="AD73">
        <v>0</v>
      </c>
      <c r="AE73">
        <v>0</v>
      </c>
      <c r="AF73">
        <v>0</v>
      </c>
      <c r="AG73">
        <v>0</v>
      </c>
      <c r="AH73">
        <v>0.245</v>
      </c>
      <c r="AI73">
        <v>0</v>
      </c>
      <c r="AJ73">
        <v>1</v>
      </c>
    </row>
    <row r="74">
      <c r="A74" t="str">
        <v>07.01.2024-058</v>
      </c>
      <c r="B74">
        <v>0.1369</v>
      </c>
      <c r="C74">
        <v>0.0016</v>
      </c>
      <c r="D74">
        <v>0</v>
      </c>
      <c r="E74">
        <v>0.0017</v>
      </c>
      <c r="F74">
        <v>0</v>
      </c>
      <c r="G74">
        <v>0.0023</v>
      </c>
      <c r="H74">
        <v>0</v>
      </c>
      <c r="I74">
        <v>0</v>
      </c>
      <c r="J74">
        <v>0</v>
      </c>
      <c r="K74">
        <v>0.0025</v>
      </c>
      <c r="L74">
        <v>0</v>
      </c>
      <c r="M74">
        <v>0</v>
      </c>
      <c r="N74">
        <v>0.12</v>
      </c>
      <c r="O74">
        <v>0</v>
      </c>
      <c r="P74">
        <v>0</v>
      </c>
      <c r="Q74">
        <v>0.1</v>
      </c>
      <c r="R74">
        <v>0</v>
      </c>
      <c r="S74">
        <v>0</v>
      </c>
      <c r="T74">
        <v>0.1</v>
      </c>
      <c r="U74">
        <v>0</v>
      </c>
      <c r="V74">
        <v>0</v>
      </c>
      <c r="W74">
        <v>0</v>
      </c>
      <c r="X74">
        <v>0</v>
      </c>
      <c r="Y74">
        <v>0.25</v>
      </c>
      <c r="Z74">
        <v>0</v>
      </c>
      <c r="AA74">
        <v>0.03</v>
      </c>
      <c r="AB74">
        <v>0</v>
      </c>
      <c r="AC74">
        <v>0.01</v>
      </c>
      <c r="AD74">
        <v>0</v>
      </c>
      <c r="AE74">
        <v>0</v>
      </c>
      <c r="AF74">
        <v>0</v>
      </c>
      <c r="AG74">
        <v>0</v>
      </c>
      <c r="AH74">
        <v>0.245</v>
      </c>
      <c r="AI74">
        <v>0</v>
      </c>
      <c r="AJ74">
        <v>1</v>
      </c>
    </row>
    <row r="75">
      <c r="A75" t="str">
        <v>09.01.2024-063</v>
      </c>
      <c r="B75">
        <v>0.1506</v>
      </c>
      <c r="C75">
        <v>0.0016</v>
      </c>
      <c r="D75">
        <v>0</v>
      </c>
      <c r="E75">
        <v>0.002</v>
      </c>
      <c r="F75">
        <v>0</v>
      </c>
      <c r="G75">
        <v>0.0016</v>
      </c>
      <c r="H75">
        <v>0</v>
      </c>
      <c r="I75">
        <v>0</v>
      </c>
      <c r="J75">
        <v>0</v>
      </c>
      <c r="K75">
        <v>0.0025</v>
      </c>
      <c r="L75">
        <v>0</v>
      </c>
      <c r="M75">
        <v>0</v>
      </c>
      <c r="N75">
        <v>0.12</v>
      </c>
      <c r="O75">
        <v>0</v>
      </c>
      <c r="P75">
        <v>0</v>
      </c>
      <c r="Q75">
        <v>0.095</v>
      </c>
      <c r="R75">
        <v>0</v>
      </c>
      <c r="S75">
        <v>0</v>
      </c>
      <c r="T75">
        <v>0.095</v>
      </c>
      <c r="U75">
        <v>0.0117</v>
      </c>
      <c r="V75">
        <v>0</v>
      </c>
      <c r="W75">
        <v>0</v>
      </c>
      <c r="X75">
        <v>0</v>
      </c>
      <c r="Y75">
        <v>0.25</v>
      </c>
      <c r="Z75">
        <v>0</v>
      </c>
      <c r="AA75">
        <v>0.03</v>
      </c>
      <c r="AB75">
        <v>0</v>
      </c>
      <c r="AC75">
        <v>0.015</v>
      </c>
      <c r="AD75">
        <v>0</v>
      </c>
      <c r="AE75">
        <v>0.225</v>
      </c>
      <c r="AF75">
        <v>0</v>
      </c>
      <c r="AG75">
        <v>0</v>
      </c>
      <c r="AH75">
        <v>0</v>
      </c>
      <c r="AI75">
        <v>0</v>
      </c>
      <c r="AJ75">
        <v>1</v>
      </c>
    </row>
    <row r="76">
      <c r="A76" t="str">
        <v>10.01.2024-063</v>
      </c>
      <c r="B76">
        <v>0.1506</v>
      </c>
      <c r="C76">
        <v>0.0016</v>
      </c>
      <c r="D76">
        <v>0</v>
      </c>
      <c r="E76">
        <v>0.002</v>
      </c>
      <c r="F76">
        <v>0</v>
      </c>
      <c r="G76">
        <v>0.0016</v>
      </c>
      <c r="H76">
        <v>0</v>
      </c>
      <c r="I76">
        <v>0</v>
      </c>
      <c r="J76">
        <v>0</v>
      </c>
      <c r="K76">
        <v>0.0025</v>
      </c>
      <c r="L76">
        <v>0</v>
      </c>
      <c r="M76">
        <v>0</v>
      </c>
      <c r="N76">
        <v>0.12</v>
      </c>
      <c r="O76">
        <v>0</v>
      </c>
      <c r="P76">
        <v>0</v>
      </c>
      <c r="Q76">
        <v>0.095</v>
      </c>
      <c r="R76">
        <v>0</v>
      </c>
      <c r="S76">
        <v>0</v>
      </c>
      <c r="T76">
        <v>0.095</v>
      </c>
      <c r="U76">
        <v>0.0117</v>
      </c>
      <c r="V76">
        <v>0</v>
      </c>
      <c r="W76">
        <v>0</v>
      </c>
      <c r="X76">
        <v>0</v>
      </c>
      <c r="Y76">
        <v>0.25</v>
      </c>
      <c r="Z76">
        <v>0</v>
      </c>
      <c r="AA76">
        <v>0.03</v>
      </c>
      <c r="AB76">
        <v>0</v>
      </c>
      <c r="AC76">
        <v>0.015</v>
      </c>
      <c r="AD76">
        <v>0</v>
      </c>
      <c r="AE76">
        <v>0.225</v>
      </c>
      <c r="AF76">
        <v>0</v>
      </c>
      <c r="AG76">
        <v>0</v>
      </c>
      <c r="AH76">
        <v>0</v>
      </c>
      <c r="AI76">
        <v>0</v>
      </c>
      <c r="AJ76">
        <v>1</v>
      </c>
    </row>
    <row r="77">
      <c r="A77" t="str">
        <v>11.01.2024-063</v>
      </c>
      <c r="B77">
        <v>0.1506</v>
      </c>
      <c r="C77">
        <v>0.0016</v>
      </c>
      <c r="D77">
        <v>0</v>
      </c>
      <c r="E77">
        <v>0.002</v>
      </c>
      <c r="F77">
        <v>0</v>
      </c>
      <c r="G77">
        <v>0.0016</v>
      </c>
      <c r="H77">
        <v>0</v>
      </c>
      <c r="I77">
        <v>0</v>
      </c>
      <c r="J77">
        <v>0</v>
      </c>
      <c r="K77">
        <v>0.0025</v>
      </c>
      <c r="L77">
        <v>0</v>
      </c>
      <c r="M77">
        <v>0</v>
      </c>
      <c r="N77">
        <v>0.12</v>
      </c>
      <c r="O77">
        <v>0</v>
      </c>
      <c r="P77">
        <v>0</v>
      </c>
      <c r="Q77">
        <v>0.095</v>
      </c>
      <c r="R77">
        <v>0</v>
      </c>
      <c r="S77">
        <v>0</v>
      </c>
      <c r="T77">
        <v>0.095</v>
      </c>
      <c r="U77">
        <v>0.0117</v>
      </c>
      <c r="V77">
        <v>0</v>
      </c>
      <c r="W77">
        <v>0</v>
      </c>
      <c r="X77">
        <v>0</v>
      </c>
      <c r="Y77">
        <v>0.25</v>
      </c>
      <c r="Z77">
        <v>0</v>
      </c>
      <c r="AA77">
        <v>0.03</v>
      </c>
      <c r="AB77">
        <v>0</v>
      </c>
      <c r="AC77">
        <v>0.015</v>
      </c>
      <c r="AD77">
        <v>0</v>
      </c>
      <c r="AE77">
        <v>0.225</v>
      </c>
      <c r="AF77">
        <v>0</v>
      </c>
      <c r="AG77">
        <v>0</v>
      </c>
      <c r="AH77">
        <v>0</v>
      </c>
      <c r="AI77">
        <v>0</v>
      </c>
      <c r="AJ77">
        <v>1</v>
      </c>
    </row>
    <row r="78">
      <c r="A78" t="str">
        <v>24.01.2024-064</v>
      </c>
      <c r="B78">
        <v>0.1747</v>
      </c>
      <c r="C78">
        <v>0.0016</v>
      </c>
      <c r="D78">
        <v>0</v>
      </c>
      <c r="E78">
        <v>0.002</v>
      </c>
      <c r="F78">
        <v>0</v>
      </c>
      <c r="G78">
        <v>0.002</v>
      </c>
      <c r="H78">
        <v>0</v>
      </c>
      <c r="I78">
        <v>0</v>
      </c>
      <c r="J78">
        <v>0</v>
      </c>
      <c r="K78">
        <v>0.003</v>
      </c>
      <c r="L78">
        <v>0</v>
      </c>
      <c r="M78">
        <v>0</v>
      </c>
      <c r="N78">
        <v>0.12</v>
      </c>
      <c r="O78">
        <v>0</v>
      </c>
      <c r="P78">
        <v>0</v>
      </c>
      <c r="Q78">
        <v>0.09</v>
      </c>
      <c r="R78">
        <v>0</v>
      </c>
      <c r="S78">
        <v>0</v>
      </c>
      <c r="T78">
        <v>0.09</v>
      </c>
      <c r="U78">
        <v>0</v>
      </c>
      <c r="V78">
        <v>0.0117</v>
      </c>
      <c r="W78">
        <v>0</v>
      </c>
      <c r="X78">
        <v>0</v>
      </c>
      <c r="Y78">
        <v>0.25</v>
      </c>
      <c r="Z78">
        <v>0</v>
      </c>
      <c r="AA78">
        <v>0.03</v>
      </c>
      <c r="AB78">
        <v>0</v>
      </c>
      <c r="AC78">
        <v>0</v>
      </c>
      <c r="AD78">
        <v>0</v>
      </c>
      <c r="AE78">
        <v>0.225</v>
      </c>
      <c r="AF78">
        <v>0</v>
      </c>
      <c r="AG78">
        <v>0</v>
      </c>
      <c r="AH78">
        <v>0</v>
      </c>
      <c r="AI78">
        <v>0</v>
      </c>
      <c r="AJ78">
        <v>0.9999999999999999</v>
      </c>
    </row>
    <row r="79">
      <c r="A79" t="str">
        <v>21.02.2024-036</v>
      </c>
      <c r="B79">
        <v>0.1751</v>
      </c>
      <c r="C79">
        <v>0.0016</v>
      </c>
      <c r="D79">
        <v>0.002</v>
      </c>
      <c r="E79">
        <v>0</v>
      </c>
      <c r="F79">
        <v>0</v>
      </c>
      <c r="G79">
        <v>0.0012</v>
      </c>
      <c r="H79">
        <v>0</v>
      </c>
      <c r="I79">
        <v>0</v>
      </c>
      <c r="J79">
        <v>0</v>
      </c>
      <c r="K79">
        <v>0.003</v>
      </c>
      <c r="L79">
        <v>0</v>
      </c>
      <c r="M79">
        <v>0</v>
      </c>
      <c r="N79">
        <v>0.12</v>
      </c>
      <c r="O79">
        <v>0</v>
      </c>
      <c r="P79">
        <v>0</v>
      </c>
      <c r="Q79">
        <v>0.09</v>
      </c>
      <c r="R79">
        <v>0</v>
      </c>
      <c r="S79">
        <v>0</v>
      </c>
      <c r="T79">
        <v>0.09</v>
      </c>
      <c r="U79">
        <v>0.0117</v>
      </c>
      <c r="V79">
        <v>0</v>
      </c>
      <c r="W79">
        <v>0</v>
      </c>
      <c r="X79">
        <v>0</v>
      </c>
      <c r="Y79">
        <v>0.25</v>
      </c>
      <c r="Z79">
        <v>0</v>
      </c>
      <c r="AA79">
        <v>0.03</v>
      </c>
      <c r="AB79">
        <v>0</v>
      </c>
      <c r="AC79">
        <v>0</v>
      </c>
      <c r="AD79">
        <v>0</v>
      </c>
      <c r="AE79">
        <v>0.225</v>
      </c>
      <c r="AF79">
        <v>0</v>
      </c>
      <c r="AG79">
        <v>0</v>
      </c>
      <c r="AH79">
        <v>0</v>
      </c>
      <c r="AI79">
        <v>0</v>
      </c>
      <c r="AJ79">
        <v>0.9995999999999999</v>
      </c>
    </row>
    <row r="80">
      <c r="A80" t="str">
        <v>20.02.2024-043</v>
      </c>
      <c r="B80">
        <v>0.1751</v>
      </c>
      <c r="C80">
        <v>0.0016</v>
      </c>
      <c r="D80">
        <v>0.002</v>
      </c>
      <c r="E80">
        <v>0</v>
      </c>
      <c r="F80">
        <v>0</v>
      </c>
      <c r="G80">
        <v>0.0016</v>
      </c>
      <c r="H80">
        <v>0</v>
      </c>
      <c r="I80">
        <v>0</v>
      </c>
      <c r="J80">
        <v>0</v>
      </c>
      <c r="K80">
        <v>0.003</v>
      </c>
      <c r="L80">
        <v>0</v>
      </c>
      <c r="M80">
        <v>0</v>
      </c>
      <c r="N80">
        <v>0.12</v>
      </c>
      <c r="O80">
        <v>0</v>
      </c>
      <c r="P80">
        <v>0</v>
      </c>
      <c r="Q80">
        <v>0.09</v>
      </c>
      <c r="R80">
        <v>0</v>
      </c>
      <c r="S80">
        <v>0</v>
      </c>
      <c r="T80">
        <v>0.09</v>
      </c>
      <c r="U80">
        <v>0.0117</v>
      </c>
      <c r="V80">
        <v>0</v>
      </c>
      <c r="W80">
        <v>0.25</v>
      </c>
      <c r="X80">
        <v>0</v>
      </c>
      <c r="Y80">
        <v>0</v>
      </c>
      <c r="Z80">
        <v>0</v>
      </c>
      <c r="AA80">
        <v>0.03</v>
      </c>
      <c r="AB80">
        <v>0</v>
      </c>
      <c r="AC80">
        <v>0</v>
      </c>
      <c r="AD80">
        <v>0</v>
      </c>
      <c r="AE80">
        <v>0.225</v>
      </c>
      <c r="AF80">
        <v>0</v>
      </c>
      <c r="AG80">
        <v>0</v>
      </c>
      <c r="AH80">
        <v>0</v>
      </c>
      <c r="AI80">
        <v>0</v>
      </c>
      <c r="AJ80">
        <v>0.9999999999999999</v>
      </c>
    </row>
    <row r="81">
      <c r="A81" t="str">
        <v>21.02.2024-044</v>
      </c>
      <c r="B81">
        <v>0.1553</v>
      </c>
      <c r="C81">
        <v>0.0016</v>
      </c>
      <c r="D81">
        <v>0.002</v>
      </c>
      <c r="E81">
        <v>0</v>
      </c>
      <c r="F81">
        <v>0</v>
      </c>
      <c r="G81">
        <v>0.0019</v>
      </c>
      <c r="H81">
        <v>0</v>
      </c>
      <c r="I81">
        <v>0</v>
      </c>
      <c r="J81">
        <v>0</v>
      </c>
      <c r="K81">
        <v>0.0025</v>
      </c>
      <c r="L81">
        <v>0</v>
      </c>
      <c r="M81">
        <v>0</v>
      </c>
      <c r="N81">
        <v>0.12</v>
      </c>
      <c r="O81">
        <v>0</v>
      </c>
      <c r="P81">
        <v>0</v>
      </c>
      <c r="Q81">
        <v>0.1</v>
      </c>
      <c r="R81">
        <v>0</v>
      </c>
      <c r="S81">
        <v>0</v>
      </c>
      <c r="T81">
        <v>0.1</v>
      </c>
      <c r="U81">
        <v>0.0117</v>
      </c>
      <c r="V81">
        <v>0</v>
      </c>
      <c r="W81">
        <v>0.24</v>
      </c>
      <c r="X81">
        <v>0</v>
      </c>
      <c r="Y81">
        <v>0</v>
      </c>
      <c r="Z81">
        <v>0</v>
      </c>
      <c r="AA81">
        <v>0.03</v>
      </c>
      <c r="AB81">
        <v>0</v>
      </c>
      <c r="AC81">
        <v>0.02</v>
      </c>
      <c r="AD81">
        <v>0</v>
      </c>
      <c r="AE81">
        <v>0</v>
      </c>
      <c r="AF81">
        <v>0</v>
      </c>
      <c r="AG81">
        <v>0.215</v>
      </c>
      <c r="AH81">
        <v>0</v>
      </c>
      <c r="AI81">
        <v>0</v>
      </c>
      <c r="AJ81">
        <v>0.9999999999999999</v>
      </c>
    </row>
    <row r="82">
      <c r="A82" t="str">
        <v>25.02.2025-065</v>
      </c>
      <c r="B82">
        <v>0.1494</v>
      </c>
      <c r="C82">
        <v>0.004</v>
      </c>
      <c r="D82">
        <v>0.004</v>
      </c>
      <c r="E82">
        <v>0</v>
      </c>
      <c r="F82">
        <v>0</v>
      </c>
      <c r="G82">
        <v>0.0016</v>
      </c>
      <c r="H82">
        <v>0</v>
      </c>
      <c r="I82">
        <v>0</v>
      </c>
      <c r="J82">
        <v>0</v>
      </c>
      <c r="K82">
        <v>0.003</v>
      </c>
      <c r="L82">
        <v>0</v>
      </c>
      <c r="M82">
        <v>0</v>
      </c>
      <c r="N82">
        <v>0.12</v>
      </c>
      <c r="O82">
        <v>0</v>
      </c>
      <c r="P82">
        <v>0</v>
      </c>
      <c r="Q82">
        <v>0.0925</v>
      </c>
      <c r="R82">
        <v>0</v>
      </c>
      <c r="S82">
        <v>0</v>
      </c>
      <c r="T82">
        <v>0.0925</v>
      </c>
      <c r="U82">
        <v>0.013</v>
      </c>
      <c r="V82">
        <v>0</v>
      </c>
      <c r="W82">
        <v>0</v>
      </c>
      <c r="X82">
        <v>0</v>
      </c>
      <c r="Y82">
        <v>0.25</v>
      </c>
      <c r="Z82">
        <v>0</v>
      </c>
      <c r="AA82">
        <v>0.03</v>
      </c>
      <c r="AB82">
        <v>0</v>
      </c>
      <c r="AC82">
        <v>0.01</v>
      </c>
      <c r="AD82">
        <v>0</v>
      </c>
      <c r="AE82">
        <v>0.23</v>
      </c>
      <c r="AF82">
        <v>0</v>
      </c>
      <c r="AG82">
        <v>0</v>
      </c>
      <c r="AH82">
        <v>0</v>
      </c>
      <c r="AI82">
        <v>0</v>
      </c>
      <c r="AJ82">
        <v>1.0000000000000002</v>
      </c>
    </row>
    <row r="83">
      <c r="A83" t="str">
        <v>28.01.2024-066</v>
      </c>
      <c r="B83">
        <v>0.1305</v>
      </c>
      <c r="C83">
        <v>0.0016</v>
      </c>
      <c r="D83">
        <v>0</v>
      </c>
      <c r="E83">
        <v>0.002</v>
      </c>
      <c r="F83">
        <v>0</v>
      </c>
      <c r="G83">
        <v>0.0017</v>
      </c>
      <c r="H83">
        <v>0</v>
      </c>
      <c r="I83">
        <v>0</v>
      </c>
      <c r="J83">
        <v>0</v>
      </c>
      <c r="K83">
        <v>0.0025</v>
      </c>
      <c r="L83">
        <v>0</v>
      </c>
      <c r="M83">
        <v>0</v>
      </c>
      <c r="N83">
        <v>0.12</v>
      </c>
      <c r="O83">
        <v>0</v>
      </c>
      <c r="P83">
        <v>0</v>
      </c>
      <c r="Q83">
        <v>0.1</v>
      </c>
      <c r="R83">
        <v>0</v>
      </c>
      <c r="S83">
        <v>0</v>
      </c>
      <c r="T83">
        <v>0.1</v>
      </c>
      <c r="U83">
        <v>0.0117</v>
      </c>
      <c r="V83">
        <v>0</v>
      </c>
      <c r="W83">
        <v>0</v>
      </c>
      <c r="X83">
        <v>0</v>
      </c>
      <c r="Y83">
        <v>0.25</v>
      </c>
      <c r="Z83">
        <v>0</v>
      </c>
      <c r="AA83">
        <v>0.03</v>
      </c>
      <c r="AB83">
        <v>0</v>
      </c>
      <c r="AC83">
        <v>0.01</v>
      </c>
      <c r="AD83">
        <v>0</v>
      </c>
      <c r="AE83">
        <v>0.24</v>
      </c>
      <c r="AF83">
        <v>0</v>
      </c>
      <c r="AG83">
        <v>0</v>
      </c>
      <c r="AH83">
        <v>0</v>
      </c>
      <c r="AI83">
        <v>0</v>
      </c>
      <c r="AJ83">
        <v>1</v>
      </c>
    </row>
    <row r="84">
      <c r="A84" t="str">
        <v>26.02.2024-067</v>
      </c>
      <c r="B84">
        <v>0.1444</v>
      </c>
      <c r="C84">
        <v>0.004</v>
      </c>
      <c r="D84">
        <v>0.004</v>
      </c>
      <c r="E84">
        <v>0</v>
      </c>
      <c r="F84">
        <v>0</v>
      </c>
      <c r="G84">
        <v>0.0016</v>
      </c>
      <c r="H84">
        <v>0</v>
      </c>
      <c r="I84">
        <v>0</v>
      </c>
      <c r="J84">
        <v>0</v>
      </c>
      <c r="K84">
        <v>0.003</v>
      </c>
      <c r="L84">
        <v>0</v>
      </c>
      <c r="M84">
        <v>0</v>
      </c>
      <c r="N84">
        <v>0.12</v>
      </c>
      <c r="O84">
        <v>0</v>
      </c>
      <c r="P84">
        <v>0</v>
      </c>
      <c r="Q84">
        <v>0.0925</v>
      </c>
      <c r="R84">
        <v>0</v>
      </c>
      <c r="S84">
        <v>0</v>
      </c>
      <c r="T84">
        <v>0.0925</v>
      </c>
      <c r="U84">
        <v>0.013</v>
      </c>
      <c r="V84">
        <v>0</v>
      </c>
      <c r="W84">
        <v>0</v>
      </c>
      <c r="X84">
        <v>0</v>
      </c>
      <c r="Y84">
        <v>0.25</v>
      </c>
      <c r="Z84">
        <v>0</v>
      </c>
      <c r="AA84">
        <v>0.03</v>
      </c>
      <c r="AB84">
        <v>0</v>
      </c>
      <c r="AC84">
        <v>0.015</v>
      </c>
      <c r="AD84">
        <v>0</v>
      </c>
      <c r="AE84">
        <v>0.23</v>
      </c>
      <c r="AF84">
        <v>0</v>
      </c>
      <c r="AG84">
        <v>0</v>
      </c>
      <c r="AH84">
        <v>0</v>
      </c>
      <c r="AI84">
        <v>0</v>
      </c>
      <c r="AJ84">
        <v>1.0000000000000002</v>
      </c>
    </row>
    <row r="85">
      <c r="A85" t="str">
        <v>28.02.2024-068</v>
      </c>
      <c r="B85">
        <v>0.1414</v>
      </c>
      <c r="C85">
        <v>0.004</v>
      </c>
      <c r="D85">
        <v>0.004</v>
      </c>
      <c r="E85">
        <v>0</v>
      </c>
      <c r="F85">
        <v>0</v>
      </c>
      <c r="G85">
        <v>0.0026</v>
      </c>
      <c r="H85">
        <v>0</v>
      </c>
      <c r="I85">
        <v>0</v>
      </c>
      <c r="J85">
        <v>0</v>
      </c>
      <c r="K85">
        <v>0.003</v>
      </c>
      <c r="L85">
        <v>0</v>
      </c>
      <c r="M85">
        <v>0</v>
      </c>
      <c r="N85">
        <v>0.12</v>
      </c>
      <c r="O85">
        <v>0</v>
      </c>
      <c r="P85">
        <v>0</v>
      </c>
      <c r="Q85">
        <v>0.0925</v>
      </c>
      <c r="R85">
        <v>0</v>
      </c>
      <c r="S85">
        <v>0</v>
      </c>
      <c r="T85">
        <v>0.0925</v>
      </c>
      <c r="U85">
        <v>0.005</v>
      </c>
      <c r="V85">
        <v>0</v>
      </c>
      <c r="W85">
        <v>0</v>
      </c>
      <c r="X85">
        <v>0</v>
      </c>
      <c r="Y85">
        <v>0.25</v>
      </c>
      <c r="Z85">
        <v>0</v>
      </c>
      <c r="AA85">
        <v>0.03</v>
      </c>
      <c r="AB85">
        <v>0</v>
      </c>
      <c r="AC85">
        <v>0.01</v>
      </c>
      <c r="AD85">
        <v>0</v>
      </c>
      <c r="AE85">
        <v>0</v>
      </c>
      <c r="AF85">
        <v>0</v>
      </c>
      <c r="AG85">
        <v>0</v>
      </c>
      <c r="AH85">
        <v>0.245</v>
      </c>
      <c r="AI85">
        <v>0</v>
      </c>
      <c r="AJ85">
        <v>1</v>
      </c>
    </row>
    <row r="86">
      <c r="A86" t="str">
        <v>05.03.2024-069</v>
      </c>
      <c r="B86">
        <v>0.1418</v>
      </c>
      <c r="C86">
        <v>0.004</v>
      </c>
      <c r="D86">
        <v>0.004</v>
      </c>
      <c r="E86">
        <v>0</v>
      </c>
      <c r="F86">
        <v>0</v>
      </c>
      <c r="G86">
        <v>0.0022</v>
      </c>
      <c r="H86">
        <v>0</v>
      </c>
      <c r="I86">
        <v>0</v>
      </c>
      <c r="J86">
        <v>0</v>
      </c>
      <c r="K86">
        <v>0.003</v>
      </c>
      <c r="L86">
        <v>0</v>
      </c>
      <c r="M86">
        <v>0</v>
      </c>
      <c r="N86">
        <v>0.12</v>
      </c>
      <c r="O86">
        <v>0</v>
      </c>
      <c r="P86">
        <v>0</v>
      </c>
      <c r="Q86">
        <v>0.0925</v>
      </c>
      <c r="R86">
        <v>0</v>
      </c>
      <c r="S86">
        <v>0</v>
      </c>
      <c r="T86">
        <v>0.0925</v>
      </c>
      <c r="U86">
        <v>0.005</v>
      </c>
      <c r="V86">
        <v>0</v>
      </c>
      <c r="W86">
        <v>0</v>
      </c>
      <c r="X86">
        <v>0</v>
      </c>
      <c r="Y86">
        <v>0.25</v>
      </c>
      <c r="Z86">
        <v>0</v>
      </c>
      <c r="AA86">
        <v>0.03</v>
      </c>
      <c r="AB86">
        <v>0</v>
      </c>
      <c r="AC86">
        <v>0.015</v>
      </c>
      <c r="AD86">
        <v>0</v>
      </c>
      <c r="AE86">
        <v>0</v>
      </c>
      <c r="AF86">
        <v>0</v>
      </c>
      <c r="AG86">
        <v>0</v>
      </c>
      <c r="AH86">
        <v>0.24</v>
      </c>
      <c r="AI86">
        <v>0</v>
      </c>
      <c r="AJ86">
        <v>1</v>
      </c>
    </row>
    <row r="87">
      <c r="A87" t="str">
        <v>26.02.2024-070</v>
      </c>
      <c r="B87">
        <v>0.1491</v>
      </c>
      <c r="C87">
        <v>0.004</v>
      </c>
      <c r="D87">
        <v>0.004</v>
      </c>
      <c r="E87">
        <v>0</v>
      </c>
      <c r="F87">
        <v>0</v>
      </c>
      <c r="G87">
        <v>0.0019</v>
      </c>
      <c r="H87">
        <v>0</v>
      </c>
      <c r="I87">
        <v>0</v>
      </c>
      <c r="J87">
        <v>0</v>
      </c>
      <c r="K87">
        <v>0.003</v>
      </c>
      <c r="L87">
        <v>0</v>
      </c>
      <c r="M87">
        <v>0</v>
      </c>
      <c r="N87">
        <v>0.12</v>
      </c>
      <c r="O87">
        <v>0</v>
      </c>
      <c r="P87">
        <v>0</v>
      </c>
      <c r="Q87">
        <v>0.0925</v>
      </c>
      <c r="R87">
        <v>0</v>
      </c>
      <c r="S87">
        <v>0</v>
      </c>
      <c r="T87">
        <v>0.0925</v>
      </c>
      <c r="U87">
        <v>0.013</v>
      </c>
      <c r="V87">
        <v>0</v>
      </c>
      <c r="W87">
        <v>0</v>
      </c>
      <c r="X87">
        <v>0</v>
      </c>
      <c r="Y87">
        <v>0.25</v>
      </c>
      <c r="Z87">
        <v>0</v>
      </c>
      <c r="AA87">
        <v>0.03</v>
      </c>
      <c r="AB87">
        <v>0</v>
      </c>
      <c r="AC87">
        <v>0.01</v>
      </c>
      <c r="AD87">
        <v>0</v>
      </c>
      <c r="AE87">
        <v>0.23</v>
      </c>
      <c r="AF87">
        <v>0</v>
      </c>
      <c r="AG87">
        <v>0</v>
      </c>
      <c r="AH87">
        <v>0</v>
      </c>
      <c r="AI87">
        <v>0</v>
      </c>
      <c r="AJ87">
        <v>1.0000000000000002</v>
      </c>
    </row>
    <row r="88">
      <c r="A88" t="str">
        <v>28.02.2024-071</v>
      </c>
      <c r="B88">
        <v>0.1362</v>
      </c>
      <c r="C88">
        <v>0.0016</v>
      </c>
      <c r="D88">
        <v>0.0017</v>
      </c>
      <c r="E88">
        <v>0</v>
      </c>
      <c r="F88">
        <v>0</v>
      </c>
      <c r="G88">
        <v>0.0025</v>
      </c>
      <c r="H88">
        <v>0</v>
      </c>
      <c r="I88">
        <v>0</v>
      </c>
      <c r="J88">
        <v>0</v>
      </c>
      <c r="K88">
        <v>0.003</v>
      </c>
      <c r="L88">
        <v>0</v>
      </c>
      <c r="M88">
        <v>0</v>
      </c>
      <c r="N88">
        <v>0.12</v>
      </c>
      <c r="O88">
        <v>0</v>
      </c>
      <c r="P88">
        <v>0</v>
      </c>
      <c r="Q88">
        <v>0.1</v>
      </c>
      <c r="R88">
        <v>0</v>
      </c>
      <c r="S88">
        <v>0</v>
      </c>
      <c r="T88">
        <v>0.1</v>
      </c>
      <c r="U88">
        <v>0</v>
      </c>
      <c r="V88">
        <v>0</v>
      </c>
      <c r="W88">
        <v>0</v>
      </c>
      <c r="X88">
        <v>0</v>
      </c>
      <c r="Y88">
        <v>0.25</v>
      </c>
      <c r="Z88">
        <v>0</v>
      </c>
      <c r="AA88">
        <v>0.03</v>
      </c>
      <c r="AB88">
        <v>0</v>
      </c>
      <c r="AC88">
        <v>0.01</v>
      </c>
      <c r="AD88">
        <v>0</v>
      </c>
      <c r="AE88">
        <v>0</v>
      </c>
      <c r="AF88">
        <v>0</v>
      </c>
      <c r="AG88">
        <v>0</v>
      </c>
      <c r="AH88">
        <v>0.245</v>
      </c>
      <c r="AI88">
        <v>0</v>
      </c>
      <c r="AJ88">
        <v>1</v>
      </c>
    </row>
    <row r="89">
      <c r="A89" t="str">
        <v>06.03.2024-072</v>
      </c>
      <c r="B89">
        <v>0.1418</v>
      </c>
      <c r="C89">
        <v>0.004</v>
      </c>
      <c r="D89">
        <v>0.004</v>
      </c>
      <c r="E89">
        <v>0</v>
      </c>
      <c r="F89">
        <v>0</v>
      </c>
      <c r="G89">
        <v>0.0022</v>
      </c>
      <c r="H89">
        <v>0</v>
      </c>
      <c r="I89">
        <v>0</v>
      </c>
      <c r="J89">
        <v>0</v>
      </c>
      <c r="K89">
        <v>0.003</v>
      </c>
      <c r="L89">
        <v>0</v>
      </c>
      <c r="M89">
        <v>0</v>
      </c>
      <c r="N89">
        <v>0.118</v>
      </c>
      <c r="O89">
        <v>0</v>
      </c>
      <c r="P89">
        <v>0</v>
      </c>
      <c r="Q89">
        <v>0.094</v>
      </c>
      <c r="R89">
        <v>0</v>
      </c>
      <c r="S89">
        <v>0</v>
      </c>
      <c r="T89">
        <v>0.094</v>
      </c>
      <c r="U89">
        <v>0.005</v>
      </c>
      <c r="V89">
        <v>0</v>
      </c>
      <c r="W89">
        <v>0</v>
      </c>
      <c r="X89">
        <v>0</v>
      </c>
      <c r="Y89">
        <v>0.25</v>
      </c>
      <c r="Z89">
        <v>0</v>
      </c>
      <c r="AA89">
        <v>0.03</v>
      </c>
      <c r="AB89">
        <v>0</v>
      </c>
      <c r="AC89">
        <v>0.01</v>
      </c>
      <c r="AD89">
        <v>0</v>
      </c>
      <c r="AE89">
        <v>0</v>
      </c>
      <c r="AF89">
        <v>0</v>
      </c>
      <c r="AG89">
        <v>0</v>
      </c>
      <c r="AH89">
        <v>0.244</v>
      </c>
      <c r="AI89">
        <v>0</v>
      </c>
      <c r="AJ89">
        <v>1</v>
      </c>
    </row>
    <row r="90">
      <c r="A90" t="str">
        <v>07.03.2024-073</v>
      </c>
      <c r="B90">
        <v>0.1384</v>
      </c>
      <c r="C90">
        <v>0.002</v>
      </c>
      <c r="D90">
        <v>0.0017</v>
      </c>
      <c r="E90">
        <v>0</v>
      </c>
      <c r="F90">
        <v>0</v>
      </c>
      <c r="G90">
        <v>0.0019</v>
      </c>
      <c r="H90">
        <v>0</v>
      </c>
      <c r="I90">
        <v>0</v>
      </c>
      <c r="J90">
        <v>0</v>
      </c>
      <c r="K90">
        <v>0.003</v>
      </c>
      <c r="L90">
        <v>0</v>
      </c>
      <c r="M90">
        <v>0</v>
      </c>
      <c r="N90">
        <v>0.117</v>
      </c>
      <c r="O90">
        <v>0</v>
      </c>
      <c r="P90">
        <v>0</v>
      </c>
      <c r="Q90">
        <v>0.093</v>
      </c>
      <c r="R90">
        <v>0</v>
      </c>
      <c r="S90">
        <v>0</v>
      </c>
      <c r="T90">
        <v>0.093</v>
      </c>
      <c r="U90">
        <v>0.005</v>
      </c>
      <c r="V90">
        <v>0</v>
      </c>
      <c r="W90">
        <v>0</v>
      </c>
      <c r="X90">
        <v>0</v>
      </c>
      <c r="Y90">
        <v>0.247</v>
      </c>
      <c r="Z90">
        <v>0</v>
      </c>
      <c r="AA90">
        <v>0.035</v>
      </c>
      <c r="AB90">
        <v>0</v>
      </c>
      <c r="AC90">
        <v>0.02</v>
      </c>
      <c r="AD90">
        <v>0</v>
      </c>
      <c r="AE90">
        <v>0</v>
      </c>
      <c r="AF90">
        <v>0</v>
      </c>
      <c r="AG90">
        <v>0</v>
      </c>
      <c r="AH90">
        <v>0.243</v>
      </c>
      <c r="AI90">
        <v>0</v>
      </c>
      <c r="AJ90">
        <v>1</v>
      </c>
    </row>
    <row r="91">
      <c r="A91" t="str">
        <v>10.03.2024-074</v>
      </c>
      <c r="B91">
        <v>0.1445</v>
      </c>
      <c r="C91">
        <v>0.0016</v>
      </c>
      <c r="D91">
        <v>0.0017</v>
      </c>
      <c r="E91">
        <v>0</v>
      </c>
      <c r="F91">
        <v>0</v>
      </c>
      <c r="G91">
        <v>0.0022</v>
      </c>
      <c r="H91">
        <v>0</v>
      </c>
      <c r="I91">
        <v>0</v>
      </c>
      <c r="J91">
        <v>0</v>
      </c>
      <c r="K91">
        <v>0.003</v>
      </c>
      <c r="L91">
        <v>0</v>
      </c>
      <c r="M91">
        <v>0</v>
      </c>
      <c r="N91">
        <v>0.119</v>
      </c>
      <c r="O91">
        <v>0</v>
      </c>
      <c r="P91">
        <v>0</v>
      </c>
      <c r="Q91">
        <v>0.0945</v>
      </c>
      <c r="R91">
        <v>0</v>
      </c>
      <c r="S91">
        <v>0</v>
      </c>
      <c r="T91">
        <v>0.0945</v>
      </c>
      <c r="U91">
        <v>0.005</v>
      </c>
      <c r="V91">
        <v>0</v>
      </c>
      <c r="W91">
        <v>0</v>
      </c>
      <c r="X91">
        <v>0</v>
      </c>
      <c r="Y91">
        <v>0.244</v>
      </c>
      <c r="Z91">
        <v>0</v>
      </c>
      <c r="AA91">
        <v>0.03</v>
      </c>
      <c r="AB91">
        <v>0</v>
      </c>
      <c r="AC91">
        <v>0.02</v>
      </c>
      <c r="AD91">
        <v>0</v>
      </c>
      <c r="AE91">
        <v>0</v>
      </c>
      <c r="AF91">
        <v>0</v>
      </c>
      <c r="AG91">
        <v>0</v>
      </c>
      <c r="AH91">
        <v>0.24</v>
      </c>
      <c r="AI91">
        <v>0</v>
      </c>
      <c r="AJ91">
        <v>1</v>
      </c>
    </row>
    <row r="92">
      <c r="A92" t="str">
        <v>10.03.2024-075</v>
      </c>
      <c r="B92">
        <v>0.1465</v>
      </c>
      <c r="C92">
        <v>0.0016</v>
      </c>
      <c r="D92">
        <v>0.0017</v>
      </c>
      <c r="E92">
        <v>0</v>
      </c>
      <c r="F92">
        <v>0</v>
      </c>
      <c r="G92">
        <v>0.0022</v>
      </c>
      <c r="H92">
        <v>0</v>
      </c>
      <c r="I92">
        <v>0</v>
      </c>
      <c r="J92">
        <v>0</v>
      </c>
      <c r="K92">
        <v>0.003</v>
      </c>
      <c r="L92">
        <v>0</v>
      </c>
      <c r="M92">
        <v>0</v>
      </c>
      <c r="N92">
        <v>0.119</v>
      </c>
      <c r="O92">
        <v>0</v>
      </c>
      <c r="P92">
        <v>0</v>
      </c>
      <c r="Q92">
        <v>0.0925</v>
      </c>
      <c r="R92">
        <v>0</v>
      </c>
      <c r="S92">
        <v>0</v>
      </c>
      <c r="T92">
        <v>0.0945</v>
      </c>
      <c r="U92">
        <v>0.005</v>
      </c>
      <c r="V92">
        <v>0</v>
      </c>
      <c r="W92">
        <v>0</v>
      </c>
      <c r="X92">
        <v>0</v>
      </c>
      <c r="Y92">
        <v>0.244</v>
      </c>
      <c r="Z92">
        <v>0</v>
      </c>
      <c r="AA92">
        <v>0.03</v>
      </c>
      <c r="AB92">
        <v>0</v>
      </c>
      <c r="AC92">
        <v>0.02</v>
      </c>
      <c r="AD92">
        <v>0</v>
      </c>
      <c r="AE92">
        <v>0</v>
      </c>
      <c r="AF92">
        <v>0</v>
      </c>
      <c r="AG92">
        <v>0</v>
      </c>
      <c r="AH92">
        <v>0.24</v>
      </c>
      <c r="AI92">
        <v>0</v>
      </c>
      <c r="AJ92">
        <v>1</v>
      </c>
    </row>
    <row r="93">
      <c r="A93" t="str">
        <v>13.03.2024-076</v>
      </c>
      <c r="B93">
        <v>0.1496</v>
      </c>
      <c r="C93">
        <v>0.004</v>
      </c>
      <c r="D93">
        <v>0.004</v>
      </c>
      <c r="E93">
        <v>0</v>
      </c>
      <c r="F93">
        <v>0</v>
      </c>
      <c r="G93">
        <v>0</v>
      </c>
      <c r="H93">
        <v>0</v>
      </c>
      <c r="I93">
        <v>0.0014</v>
      </c>
      <c r="J93">
        <v>0</v>
      </c>
      <c r="K93">
        <v>0.003</v>
      </c>
      <c r="L93">
        <v>0</v>
      </c>
      <c r="M93">
        <v>0</v>
      </c>
      <c r="N93">
        <v>0.12</v>
      </c>
      <c r="O93">
        <v>0</v>
      </c>
      <c r="P93">
        <v>0</v>
      </c>
      <c r="Q93">
        <v>0.0925</v>
      </c>
      <c r="R93">
        <v>0</v>
      </c>
      <c r="S93">
        <v>0</v>
      </c>
      <c r="T93">
        <v>0.0925</v>
      </c>
      <c r="U93">
        <v>0.013</v>
      </c>
      <c r="V93">
        <v>0</v>
      </c>
      <c r="W93">
        <v>0</v>
      </c>
      <c r="X93">
        <v>0</v>
      </c>
      <c r="Y93">
        <v>0.25</v>
      </c>
      <c r="Z93">
        <v>0</v>
      </c>
      <c r="AA93">
        <v>0.03</v>
      </c>
      <c r="AB93">
        <v>0</v>
      </c>
      <c r="AC93">
        <v>0.01</v>
      </c>
      <c r="AD93">
        <v>0</v>
      </c>
      <c r="AE93">
        <v>0.23</v>
      </c>
      <c r="AF93">
        <v>0</v>
      </c>
      <c r="AG93">
        <v>0</v>
      </c>
      <c r="AH93">
        <v>0</v>
      </c>
      <c r="AI93">
        <v>0</v>
      </c>
      <c r="AJ93">
        <v>1.0000000000000002</v>
      </c>
    </row>
    <row r="94">
      <c r="A94" t="str">
        <v>18.03.2024-077</v>
      </c>
      <c r="B94">
        <v>0.1491</v>
      </c>
      <c r="C94">
        <v>0.004</v>
      </c>
      <c r="D94">
        <v>0.004</v>
      </c>
      <c r="E94">
        <v>0</v>
      </c>
      <c r="F94">
        <v>0</v>
      </c>
      <c r="G94">
        <v>0.0016</v>
      </c>
      <c r="H94">
        <v>0</v>
      </c>
      <c r="I94">
        <v>0</v>
      </c>
      <c r="J94">
        <v>0</v>
      </c>
      <c r="K94">
        <v>0.0033</v>
      </c>
      <c r="L94">
        <v>0</v>
      </c>
      <c r="M94">
        <v>0</v>
      </c>
      <c r="N94">
        <v>0.12</v>
      </c>
      <c r="O94">
        <v>0</v>
      </c>
      <c r="P94">
        <v>0</v>
      </c>
      <c r="Q94">
        <v>0.0925</v>
      </c>
      <c r="R94">
        <v>0</v>
      </c>
      <c r="S94">
        <v>0</v>
      </c>
      <c r="T94">
        <v>0.0925</v>
      </c>
      <c r="U94">
        <v>0.013</v>
      </c>
      <c r="V94">
        <v>0</v>
      </c>
      <c r="W94">
        <v>0</v>
      </c>
      <c r="X94">
        <v>0</v>
      </c>
      <c r="Y94">
        <v>0.25</v>
      </c>
      <c r="Z94">
        <v>0</v>
      </c>
      <c r="AA94">
        <v>0.03</v>
      </c>
      <c r="AB94">
        <v>0</v>
      </c>
      <c r="AC94">
        <v>0.01</v>
      </c>
      <c r="AD94">
        <v>0</v>
      </c>
      <c r="AE94">
        <v>0.23</v>
      </c>
      <c r="AF94">
        <v>0</v>
      </c>
      <c r="AG94">
        <v>0</v>
      </c>
      <c r="AH94">
        <v>0</v>
      </c>
      <c r="AI94">
        <v>0</v>
      </c>
      <c r="AJ94">
        <v>1.0000000000000002</v>
      </c>
    </row>
    <row r="95">
      <c r="A95" t="str">
        <v>19.03.2024-078</v>
      </c>
      <c r="B95">
        <v>0.1302</v>
      </c>
      <c r="C95">
        <v>0.0016</v>
      </c>
      <c r="D95">
        <v>0.002</v>
      </c>
      <c r="E95">
        <v>0</v>
      </c>
      <c r="F95">
        <v>0</v>
      </c>
      <c r="G95">
        <v>0.0022</v>
      </c>
      <c r="H95">
        <v>0</v>
      </c>
      <c r="I95">
        <v>0</v>
      </c>
      <c r="J95">
        <v>0</v>
      </c>
      <c r="K95">
        <v>0</v>
      </c>
      <c r="L95">
        <v>0.0034</v>
      </c>
      <c r="M95">
        <v>0</v>
      </c>
      <c r="N95">
        <v>0.117</v>
      </c>
      <c r="O95">
        <v>0</v>
      </c>
      <c r="P95">
        <v>0</v>
      </c>
      <c r="Q95">
        <v>0.0973</v>
      </c>
      <c r="R95">
        <v>0</v>
      </c>
      <c r="S95">
        <v>0</v>
      </c>
      <c r="T95">
        <v>0.0973</v>
      </c>
      <c r="U95">
        <v>0.005</v>
      </c>
      <c r="V95">
        <v>0</v>
      </c>
      <c r="W95">
        <v>0</v>
      </c>
      <c r="X95">
        <v>0</v>
      </c>
      <c r="Y95">
        <v>0.244</v>
      </c>
      <c r="Z95">
        <v>0</v>
      </c>
      <c r="AA95">
        <v>0.03</v>
      </c>
      <c r="AB95">
        <v>0</v>
      </c>
      <c r="AC95">
        <v>0.03</v>
      </c>
      <c r="AD95">
        <v>0</v>
      </c>
      <c r="AE95">
        <v>0</v>
      </c>
      <c r="AF95">
        <v>0</v>
      </c>
      <c r="AG95">
        <v>0</v>
      </c>
      <c r="AH95">
        <v>0.24</v>
      </c>
      <c r="AI95">
        <v>0</v>
      </c>
      <c r="AJ95">
        <v>1</v>
      </c>
    </row>
    <row r="96">
      <c r="A96" t="str">
        <v>20.03.2024-079</v>
      </c>
      <c r="B96">
        <v>0.1275</v>
      </c>
      <c r="C96">
        <v>0.004</v>
      </c>
      <c r="D96">
        <v>0.002</v>
      </c>
      <c r="E96">
        <v>0</v>
      </c>
      <c r="F96">
        <v>0</v>
      </c>
      <c r="G96">
        <v>0.0025</v>
      </c>
      <c r="H96">
        <v>0</v>
      </c>
      <c r="I96">
        <v>0</v>
      </c>
      <c r="J96">
        <v>0</v>
      </c>
      <c r="K96">
        <v>0</v>
      </c>
      <c r="L96">
        <v>0.0034</v>
      </c>
      <c r="M96">
        <v>0</v>
      </c>
      <c r="N96">
        <v>0.117</v>
      </c>
      <c r="O96">
        <v>0</v>
      </c>
      <c r="P96">
        <v>0</v>
      </c>
      <c r="Q96">
        <v>0.0973</v>
      </c>
      <c r="R96">
        <v>0</v>
      </c>
      <c r="S96">
        <v>0</v>
      </c>
      <c r="T96">
        <v>0.0973</v>
      </c>
      <c r="U96">
        <v>0.005</v>
      </c>
      <c r="V96">
        <v>0</v>
      </c>
      <c r="W96">
        <v>0</v>
      </c>
      <c r="X96">
        <v>0</v>
      </c>
      <c r="Y96">
        <v>0.244</v>
      </c>
      <c r="Z96">
        <v>0</v>
      </c>
      <c r="AA96">
        <v>0.03</v>
      </c>
      <c r="AB96">
        <v>0</v>
      </c>
      <c r="AC96">
        <v>0.03</v>
      </c>
      <c r="AD96">
        <v>0</v>
      </c>
      <c r="AE96">
        <v>0</v>
      </c>
      <c r="AF96">
        <v>0</v>
      </c>
      <c r="AG96">
        <v>0</v>
      </c>
      <c r="AH96">
        <v>0.24</v>
      </c>
      <c r="AI96">
        <v>0</v>
      </c>
      <c r="AJ96">
        <v>1</v>
      </c>
    </row>
    <row r="97">
      <c r="A97" t="str">
        <v>20.03.2024-080</v>
      </c>
      <c r="B97">
        <v>0.1275</v>
      </c>
      <c r="C97">
        <v>0.004</v>
      </c>
      <c r="D97">
        <v>0.002</v>
      </c>
      <c r="E97">
        <v>0</v>
      </c>
      <c r="F97">
        <v>0</v>
      </c>
      <c r="G97">
        <v>0.0025</v>
      </c>
      <c r="H97">
        <v>0</v>
      </c>
      <c r="I97">
        <v>0</v>
      </c>
      <c r="J97">
        <v>0</v>
      </c>
      <c r="K97">
        <v>0</v>
      </c>
      <c r="L97">
        <v>0.0034</v>
      </c>
      <c r="M97">
        <v>0</v>
      </c>
      <c r="N97">
        <v>0.117</v>
      </c>
      <c r="O97">
        <v>0</v>
      </c>
      <c r="P97">
        <v>0</v>
      </c>
      <c r="Q97">
        <v>0.0973</v>
      </c>
      <c r="R97">
        <v>0</v>
      </c>
      <c r="S97">
        <v>0</v>
      </c>
      <c r="T97">
        <v>0.0973</v>
      </c>
      <c r="U97">
        <v>0.005</v>
      </c>
      <c r="V97">
        <v>0</v>
      </c>
      <c r="W97">
        <v>0</v>
      </c>
      <c r="X97">
        <v>0</v>
      </c>
      <c r="Y97">
        <v>0.244</v>
      </c>
      <c r="Z97">
        <v>0</v>
      </c>
      <c r="AA97">
        <v>0.03</v>
      </c>
      <c r="AB97">
        <v>0</v>
      </c>
      <c r="AC97">
        <v>0.03</v>
      </c>
      <c r="AD97">
        <v>0</v>
      </c>
      <c r="AE97">
        <v>0</v>
      </c>
      <c r="AF97">
        <v>0</v>
      </c>
      <c r="AG97">
        <v>0</v>
      </c>
      <c r="AH97">
        <v>0.24</v>
      </c>
      <c r="AI97">
        <v>0</v>
      </c>
      <c r="AJ97">
        <v>1</v>
      </c>
    </row>
    <row r="98">
      <c r="A98" t="str">
        <v>21.03.2024-081</v>
      </c>
      <c r="B98">
        <v>0.1278</v>
      </c>
      <c r="C98">
        <v>0.004</v>
      </c>
      <c r="D98">
        <v>0.002</v>
      </c>
      <c r="E98">
        <v>0</v>
      </c>
      <c r="F98">
        <v>0</v>
      </c>
      <c r="G98">
        <v>0</v>
      </c>
      <c r="H98">
        <v>0</v>
      </c>
      <c r="I98">
        <v>0.0022</v>
      </c>
      <c r="J98">
        <v>0</v>
      </c>
      <c r="K98">
        <v>0</v>
      </c>
      <c r="L98">
        <v>0.0034</v>
      </c>
      <c r="M98">
        <v>0</v>
      </c>
      <c r="N98">
        <v>0.117</v>
      </c>
      <c r="O98">
        <v>0</v>
      </c>
      <c r="P98">
        <v>0</v>
      </c>
      <c r="Q98">
        <v>0.0973</v>
      </c>
      <c r="R98">
        <v>0</v>
      </c>
      <c r="S98">
        <v>0</v>
      </c>
      <c r="T98">
        <v>0.0973</v>
      </c>
      <c r="U98">
        <v>0.005</v>
      </c>
      <c r="V98">
        <v>0</v>
      </c>
      <c r="W98">
        <v>0</v>
      </c>
      <c r="X98">
        <v>0</v>
      </c>
      <c r="Y98">
        <v>0.244</v>
      </c>
      <c r="Z98">
        <v>0</v>
      </c>
      <c r="AA98">
        <v>0.03</v>
      </c>
      <c r="AB98">
        <v>0</v>
      </c>
      <c r="AC98">
        <v>0.03</v>
      </c>
      <c r="AD98">
        <v>0</v>
      </c>
      <c r="AE98">
        <v>0</v>
      </c>
      <c r="AF98">
        <v>0</v>
      </c>
      <c r="AG98">
        <v>0</v>
      </c>
      <c r="AH98">
        <v>0.24</v>
      </c>
      <c r="AI98">
        <v>0</v>
      </c>
      <c r="AJ98">
        <v>1</v>
      </c>
    </row>
    <row r="99">
      <c r="A99" t="str">
        <v>25.03.2024-082</v>
      </c>
      <c r="B99">
        <v>0.1295</v>
      </c>
      <c r="C99">
        <v>0.002</v>
      </c>
      <c r="D99">
        <v>0.002</v>
      </c>
      <c r="E99">
        <v>0</v>
      </c>
      <c r="F99">
        <v>0</v>
      </c>
      <c r="G99">
        <v>0</v>
      </c>
      <c r="H99">
        <v>0</v>
      </c>
      <c r="I99">
        <v>0.0025</v>
      </c>
      <c r="J99">
        <v>0</v>
      </c>
      <c r="K99">
        <v>0</v>
      </c>
      <c r="L99">
        <v>0.0034</v>
      </c>
      <c r="M99">
        <v>0</v>
      </c>
      <c r="N99">
        <v>0.117</v>
      </c>
      <c r="O99">
        <v>0</v>
      </c>
      <c r="P99">
        <v>0</v>
      </c>
      <c r="Q99">
        <v>0.0973</v>
      </c>
      <c r="R99">
        <v>0</v>
      </c>
      <c r="S99">
        <v>0</v>
      </c>
      <c r="T99">
        <v>0.0973</v>
      </c>
      <c r="U99">
        <v>0.005</v>
      </c>
      <c r="V99">
        <v>0</v>
      </c>
      <c r="W99">
        <v>0</v>
      </c>
      <c r="X99">
        <v>0</v>
      </c>
      <c r="Y99">
        <v>0.244</v>
      </c>
      <c r="Z99">
        <v>0</v>
      </c>
      <c r="AA99">
        <v>0.03</v>
      </c>
      <c r="AB99">
        <v>0</v>
      </c>
      <c r="AC99">
        <v>0.03</v>
      </c>
      <c r="AD99">
        <v>0</v>
      </c>
      <c r="AE99">
        <v>0</v>
      </c>
      <c r="AF99">
        <v>0</v>
      </c>
      <c r="AG99">
        <v>0</v>
      </c>
      <c r="AH99">
        <v>0.24</v>
      </c>
      <c r="AI99">
        <v>0</v>
      </c>
      <c r="AJ99">
        <v>1</v>
      </c>
    </row>
    <row r="100">
      <c r="A100" t="str">
        <v>01.04.2024-083</v>
      </c>
      <c r="B100">
        <v>0.1289</v>
      </c>
      <c r="C100">
        <v>0.002</v>
      </c>
      <c r="D100">
        <v>0.002</v>
      </c>
      <c r="E100">
        <v>0</v>
      </c>
      <c r="F100">
        <v>0</v>
      </c>
      <c r="G100">
        <v>0.0025</v>
      </c>
      <c r="H100">
        <v>0</v>
      </c>
      <c r="I100">
        <v>0</v>
      </c>
      <c r="J100">
        <v>0.001</v>
      </c>
      <c r="K100">
        <v>0.003</v>
      </c>
      <c r="L100">
        <v>0</v>
      </c>
      <c r="M100">
        <v>0</v>
      </c>
      <c r="N100">
        <v>0.117</v>
      </c>
      <c r="O100">
        <v>0</v>
      </c>
      <c r="P100">
        <v>0</v>
      </c>
      <c r="Q100">
        <v>0.0973</v>
      </c>
      <c r="R100">
        <v>0</v>
      </c>
      <c r="S100">
        <v>0</v>
      </c>
      <c r="T100">
        <v>0.0973</v>
      </c>
      <c r="U100">
        <v>0.005</v>
      </c>
      <c r="V100">
        <v>0</v>
      </c>
      <c r="W100">
        <v>0</v>
      </c>
      <c r="X100">
        <v>0</v>
      </c>
      <c r="Y100">
        <v>0.244</v>
      </c>
      <c r="Z100">
        <v>0</v>
      </c>
      <c r="AA100">
        <v>0.03</v>
      </c>
      <c r="AB100">
        <v>0</v>
      </c>
      <c r="AC100">
        <v>0.03</v>
      </c>
      <c r="AD100">
        <v>0</v>
      </c>
      <c r="AE100">
        <v>0</v>
      </c>
      <c r="AF100">
        <v>0</v>
      </c>
      <c r="AG100">
        <v>0</v>
      </c>
      <c r="AH100">
        <v>0.24</v>
      </c>
      <c r="AI100">
        <v>0</v>
      </c>
      <c r="AJ100">
        <v>1</v>
      </c>
    </row>
    <row r="101">
      <c r="A101" t="str">
        <v>01.04.2024-084</v>
      </c>
      <c r="B101">
        <v>0.1289</v>
      </c>
      <c r="C101">
        <v>0.002</v>
      </c>
      <c r="D101">
        <v>0.002</v>
      </c>
      <c r="E101">
        <v>0</v>
      </c>
      <c r="F101">
        <v>0</v>
      </c>
      <c r="G101">
        <v>0</v>
      </c>
      <c r="H101">
        <v>0</v>
      </c>
      <c r="I101">
        <v>0.0025</v>
      </c>
      <c r="J101">
        <v>0.001</v>
      </c>
      <c r="K101">
        <v>0.003</v>
      </c>
      <c r="L101">
        <v>0</v>
      </c>
      <c r="M101">
        <v>0</v>
      </c>
      <c r="N101">
        <v>0.117</v>
      </c>
      <c r="O101">
        <v>0</v>
      </c>
      <c r="P101">
        <v>0</v>
      </c>
      <c r="Q101">
        <v>0.0973</v>
      </c>
      <c r="R101">
        <v>0</v>
      </c>
      <c r="S101">
        <v>0</v>
      </c>
      <c r="T101">
        <v>0.0973</v>
      </c>
      <c r="U101">
        <v>0.005</v>
      </c>
      <c r="V101">
        <v>0</v>
      </c>
      <c r="W101">
        <v>0</v>
      </c>
      <c r="X101">
        <v>0</v>
      </c>
      <c r="Y101">
        <v>0.244</v>
      </c>
      <c r="Z101">
        <v>0</v>
      </c>
      <c r="AA101">
        <v>0.03</v>
      </c>
      <c r="AB101">
        <v>0</v>
      </c>
      <c r="AC101">
        <v>0.03</v>
      </c>
      <c r="AD101">
        <v>0</v>
      </c>
      <c r="AE101">
        <v>0</v>
      </c>
      <c r="AF101">
        <v>0</v>
      </c>
      <c r="AG101">
        <v>0</v>
      </c>
      <c r="AH101">
        <v>0.24</v>
      </c>
      <c r="AI101">
        <v>0</v>
      </c>
      <c r="AJ101">
        <v>1</v>
      </c>
    </row>
    <row r="102">
      <c r="A102" t="str">
        <v>02.04.2024-085</v>
      </c>
      <c r="B102">
        <v>0.1291</v>
      </c>
      <c r="C102">
        <v>0.0021</v>
      </c>
      <c r="D102">
        <v>0.002</v>
      </c>
      <c r="E102">
        <v>0</v>
      </c>
      <c r="F102">
        <v>0</v>
      </c>
      <c r="G102">
        <v>0.0023</v>
      </c>
      <c r="H102">
        <v>0</v>
      </c>
      <c r="I102">
        <v>0</v>
      </c>
      <c r="J102">
        <v>0.0015</v>
      </c>
      <c r="K102">
        <v>0.003</v>
      </c>
      <c r="L102">
        <v>0</v>
      </c>
      <c r="M102">
        <v>0</v>
      </c>
      <c r="N102">
        <v>0.117</v>
      </c>
      <c r="O102">
        <v>0</v>
      </c>
      <c r="P102">
        <v>0</v>
      </c>
      <c r="Q102">
        <v>0.097</v>
      </c>
      <c r="R102">
        <v>0</v>
      </c>
      <c r="S102">
        <v>0</v>
      </c>
      <c r="T102">
        <v>0.097</v>
      </c>
      <c r="U102">
        <v>0.005</v>
      </c>
      <c r="V102">
        <v>0</v>
      </c>
      <c r="W102">
        <v>0</v>
      </c>
      <c r="X102">
        <v>0</v>
      </c>
      <c r="Y102">
        <v>0.244</v>
      </c>
      <c r="Z102">
        <v>0</v>
      </c>
      <c r="AA102">
        <v>0.03</v>
      </c>
      <c r="AB102">
        <v>0</v>
      </c>
      <c r="AC102">
        <v>0.03</v>
      </c>
      <c r="AD102">
        <v>0</v>
      </c>
      <c r="AE102">
        <v>0</v>
      </c>
      <c r="AF102">
        <v>0</v>
      </c>
      <c r="AG102">
        <v>0</v>
      </c>
      <c r="AH102">
        <v>0.24</v>
      </c>
      <c r="AI102">
        <v>0</v>
      </c>
      <c r="AJ102">
        <v>1</v>
      </c>
    </row>
    <row r="103">
      <c r="A103" t="str">
        <v>03.04.2024-086</v>
      </c>
      <c r="B103">
        <v>0.1296</v>
      </c>
      <c r="C103">
        <v>0.002</v>
      </c>
      <c r="D103">
        <v>0.002</v>
      </c>
      <c r="E103">
        <v>0</v>
      </c>
      <c r="F103">
        <v>0</v>
      </c>
      <c r="G103">
        <v>0.0025</v>
      </c>
      <c r="H103">
        <v>0</v>
      </c>
      <c r="I103">
        <v>0</v>
      </c>
      <c r="J103">
        <v>0.0015</v>
      </c>
      <c r="K103">
        <v>0.003</v>
      </c>
      <c r="L103">
        <v>0</v>
      </c>
      <c r="M103">
        <v>0</v>
      </c>
      <c r="N103">
        <v>0.117</v>
      </c>
      <c r="O103">
        <v>0</v>
      </c>
      <c r="P103">
        <v>0</v>
      </c>
      <c r="Q103">
        <v>0.0971</v>
      </c>
      <c r="R103">
        <v>0</v>
      </c>
      <c r="S103">
        <v>0</v>
      </c>
      <c r="T103">
        <v>0.0971</v>
      </c>
      <c r="U103">
        <v>0.005</v>
      </c>
      <c r="V103">
        <v>0</v>
      </c>
      <c r="W103">
        <v>0</v>
      </c>
      <c r="X103">
        <v>0</v>
      </c>
      <c r="Y103">
        <v>0.2473</v>
      </c>
      <c r="Z103">
        <v>0</v>
      </c>
      <c r="AA103">
        <v>0.03</v>
      </c>
      <c r="AB103">
        <v>0</v>
      </c>
      <c r="AC103">
        <v>0.03</v>
      </c>
      <c r="AD103">
        <v>0</v>
      </c>
      <c r="AE103">
        <v>0</v>
      </c>
      <c r="AF103">
        <v>0</v>
      </c>
      <c r="AG103">
        <v>0</v>
      </c>
      <c r="AH103">
        <v>0.2395</v>
      </c>
      <c r="AI103">
        <v>0</v>
      </c>
      <c r="AJ103">
        <v>1.0036</v>
      </c>
    </row>
    <row r="104">
      <c r="A104" t="str">
        <v>10.04.2024-087</v>
      </c>
      <c r="B104">
        <v>0.1296</v>
      </c>
      <c r="C104">
        <v>0.002</v>
      </c>
      <c r="D104">
        <v>0.002</v>
      </c>
      <c r="E104">
        <v>0</v>
      </c>
      <c r="F104">
        <v>0</v>
      </c>
      <c r="G104">
        <v>0.0025</v>
      </c>
      <c r="H104">
        <v>0</v>
      </c>
      <c r="I104">
        <v>0</v>
      </c>
      <c r="J104">
        <v>0.0015</v>
      </c>
      <c r="K104">
        <v>0.003</v>
      </c>
      <c r="L104">
        <v>0</v>
      </c>
      <c r="M104">
        <v>0</v>
      </c>
      <c r="N104">
        <v>0.117</v>
      </c>
      <c r="O104">
        <v>0</v>
      </c>
      <c r="P104">
        <v>0</v>
      </c>
      <c r="Q104">
        <v>0.0971</v>
      </c>
      <c r="R104">
        <v>0</v>
      </c>
      <c r="S104">
        <v>0</v>
      </c>
      <c r="T104">
        <v>0.0971</v>
      </c>
      <c r="U104">
        <v>0.005</v>
      </c>
      <c r="V104">
        <v>0</v>
      </c>
      <c r="W104">
        <v>0</v>
      </c>
      <c r="X104">
        <v>0</v>
      </c>
      <c r="Y104">
        <v>0.2473</v>
      </c>
      <c r="Z104">
        <v>0</v>
      </c>
      <c r="AA104">
        <v>0.03</v>
      </c>
      <c r="AB104">
        <v>0</v>
      </c>
      <c r="AC104">
        <v>0.03</v>
      </c>
      <c r="AD104">
        <v>0</v>
      </c>
      <c r="AE104">
        <v>0</v>
      </c>
      <c r="AF104">
        <v>0</v>
      </c>
      <c r="AG104">
        <v>0</v>
      </c>
      <c r="AH104">
        <v>0.2395</v>
      </c>
      <c r="AI104">
        <v>0</v>
      </c>
      <c r="AJ104">
        <v>1.0036</v>
      </c>
    </row>
    <row r="105">
      <c r="A105" t="str">
        <v>11.04.2024-087</v>
      </c>
      <c r="B105">
        <v>0.1296</v>
      </c>
      <c r="C105">
        <v>0.002</v>
      </c>
      <c r="D105">
        <v>0.002</v>
      </c>
      <c r="E105">
        <v>0</v>
      </c>
      <c r="F105">
        <v>0</v>
      </c>
      <c r="G105">
        <v>0.0025</v>
      </c>
      <c r="H105">
        <v>0</v>
      </c>
      <c r="I105">
        <v>0</v>
      </c>
      <c r="J105">
        <v>0.0015</v>
      </c>
      <c r="K105">
        <v>0.003</v>
      </c>
      <c r="L105">
        <v>0</v>
      </c>
      <c r="M105">
        <v>0</v>
      </c>
      <c r="N105">
        <v>0.117</v>
      </c>
      <c r="O105">
        <v>0</v>
      </c>
      <c r="P105">
        <v>0</v>
      </c>
      <c r="Q105">
        <v>0.0971</v>
      </c>
      <c r="R105">
        <v>0</v>
      </c>
      <c r="S105">
        <v>0</v>
      </c>
      <c r="T105">
        <v>0.0971</v>
      </c>
      <c r="U105">
        <v>0.005</v>
      </c>
      <c r="V105">
        <v>0</v>
      </c>
      <c r="W105">
        <v>0</v>
      </c>
      <c r="X105">
        <v>0</v>
      </c>
      <c r="Y105">
        <v>0.2473</v>
      </c>
      <c r="Z105">
        <v>0</v>
      </c>
      <c r="AA105">
        <v>0.03</v>
      </c>
      <c r="AB105">
        <v>0</v>
      </c>
      <c r="AC105">
        <v>0.03</v>
      </c>
      <c r="AD105">
        <v>0</v>
      </c>
      <c r="AE105">
        <v>0</v>
      </c>
      <c r="AF105">
        <v>0</v>
      </c>
      <c r="AG105">
        <v>0</v>
      </c>
      <c r="AH105">
        <v>0.2395</v>
      </c>
      <c r="AI105">
        <v>0</v>
      </c>
      <c r="AJ105">
        <v>1.0036</v>
      </c>
    </row>
    <row r="106">
      <c r="A106" t="str">
        <v>05.05.2024-088</v>
      </c>
      <c r="B106">
        <v>0.1296</v>
      </c>
      <c r="C106">
        <v>0.002</v>
      </c>
      <c r="D106">
        <v>0.002</v>
      </c>
      <c r="E106">
        <v>0</v>
      </c>
      <c r="F106">
        <v>0</v>
      </c>
      <c r="G106">
        <v>0.0026</v>
      </c>
      <c r="H106">
        <v>0</v>
      </c>
      <c r="I106">
        <v>0</v>
      </c>
      <c r="J106">
        <v>0.003</v>
      </c>
      <c r="K106">
        <v>0.0025</v>
      </c>
      <c r="L106">
        <v>0</v>
      </c>
      <c r="M106">
        <v>0</v>
      </c>
      <c r="N106">
        <v>0.1166</v>
      </c>
      <c r="O106">
        <v>0</v>
      </c>
      <c r="P106">
        <v>0</v>
      </c>
      <c r="Q106">
        <v>0.0967</v>
      </c>
      <c r="R106">
        <v>0</v>
      </c>
      <c r="S106">
        <v>0</v>
      </c>
      <c r="T106">
        <v>0.0967</v>
      </c>
      <c r="U106">
        <v>0.005</v>
      </c>
      <c r="V106">
        <v>0</v>
      </c>
      <c r="W106">
        <v>0</v>
      </c>
      <c r="X106">
        <v>0</v>
      </c>
      <c r="Y106">
        <v>0.2433</v>
      </c>
      <c r="Z106">
        <v>0</v>
      </c>
      <c r="AA106">
        <v>0.03</v>
      </c>
      <c r="AB106">
        <v>0</v>
      </c>
      <c r="AC106">
        <v>0.03</v>
      </c>
      <c r="AD106">
        <v>0</v>
      </c>
      <c r="AE106">
        <v>0</v>
      </c>
      <c r="AF106">
        <v>0</v>
      </c>
      <c r="AG106">
        <v>0</v>
      </c>
      <c r="AH106">
        <v>0.2395</v>
      </c>
      <c r="AI106">
        <v>0</v>
      </c>
      <c r="AJ106">
        <v>0.9995</v>
      </c>
    </row>
    <row r="107">
      <c r="A107" t="str">
        <v>06.05.2024-089</v>
      </c>
      <c r="B107">
        <v>0.1296</v>
      </c>
      <c r="C107">
        <v>0.002</v>
      </c>
      <c r="D107">
        <v>0.002</v>
      </c>
      <c r="E107">
        <v>0</v>
      </c>
      <c r="F107">
        <v>0</v>
      </c>
      <c r="G107">
        <v>0.0026</v>
      </c>
      <c r="H107">
        <v>0</v>
      </c>
      <c r="I107">
        <v>0</v>
      </c>
      <c r="J107">
        <v>0.0045</v>
      </c>
      <c r="K107">
        <v>0.0025</v>
      </c>
      <c r="L107">
        <v>0</v>
      </c>
      <c r="M107">
        <v>0</v>
      </c>
      <c r="N107">
        <v>0.116</v>
      </c>
      <c r="O107">
        <v>0</v>
      </c>
      <c r="P107">
        <v>0</v>
      </c>
      <c r="Q107">
        <v>0.0964</v>
      </c>
      <c r="R107">
        <v>0</v>
      </c>
      <c r="S107">
        <v>0</v>
      </c>
      <c r="T107">
        <v>0.0964</v>
      </c>
      <c r="U107">
        <v>0.005</v>
      </c>
      <c r="V107">
        <v>0</v>
      </c>
      <c r="W107">
        <v>0</v>
      </c>
      <c r="X107">
        <v>0</v>
      </c>
      <c r="Y107">
        <v>0.243</v>
      </c>
      <c r="Z107">
        <v>0</v>
      </c>
      <c r="AA107">
        <v>0.03</v>
      </c>
      <c r="AB107">
        <v>0</v>
      </c>
      <c r="AC107">
        <v>0.03</v>
      </c>
      <c r="AD107">
        <v>0</v>
      </c>
      <c r="AE107">
        <v>0</v>
      </c>
      <c r="AF107">
        <v>0</v>
      </c>
      <c r="AG107">
        <v>0</v>
      </c>
      <c r="AH107">
        <v>0.2395</v>
      </c>
      <c r="AI107">
        <v>0</v>
      </c>
      <c r="AJ107">
        <v>0.9995</v>
      </c>
    </row>
    <row r="108">
      <c r="A108" t="str">
        <v>08.05.2024-090</v>
      </c>
      <c r="B108">
        <v>0.1296</v>
      </c>
      <c r="C108">
        <v>0.002</v>
      </c>
      <c r="D108">
        <v>0.002</v>
      </c>
      <c r="E108">
        <v>0</v>
      </c>
      <c r="F108">
        <v>0</v>
      </c>
      <c r="G108">
        <v>0.0021</v>
      </c>
      <c r="H108">
        <v>0</v>
      </c>
      <c r="I108">
        <v>0</v>
      </c>
      <c r="J108">
        <v>0.005</v>
      </c>
      <c r="K108">
        <v>0.0025</v>
      </c>
      <c r="L108">
        <v>0</v>
      </c>
      <c r="M108">
        <v>0</v>
      </c>
      <c r="N108">
        <v>0.116</v>
      </c>
      <c r="O108">
        <v>0</v>
      </c>
      <c r="P108">
        <v>0</v>
      </c>
      <c r="Q108">
        <v>0.0964</v>
      </c>
      <c r="R108">
        <v>0</v>
      </c>
      <c r="S108">
        <v>0</v>
      </c>
      <c r="T108">
        <v>0.0964</v>
      </c>
      <c r="U108">
        <v>0.005</v>
      </c>
      <c r="V108">
        <v>0</v>
      </c>
      <c r="W108">
        <v>0</v>
      </c>
      <c r="X108">
        <v>0</v>
      </c>
      <c r="Y108">
        <v>0.243</v>
      </c>
      <c r="Z108">
        <v>0</v>
      </c>
      <c r="AA108">
        <v>0.03</v>
      </c>
      <c r="AB108">
        <v>0</v>
      </c>
      <c r="AC108">
        <v>0.03</v>
      </c>
      <c r="AD108">
        <v>0</v>
      </c>
      <c r="AE108">
        <v>0</v>
      </c>
      <c r="AF108">
        <v>0</v>
      </c>
      <c r="AG108">
        <v>0</v>
      </c>
      <c r="AH108">
        <v>0.2395</v>
      </c>
      <c r="AI108">
        <v>0</v>
      </c>
      <c r="AJ108">
        <v>0.9995</v>
      </c>
    </row>
    <row r="109">
      <c r="A109" t="str">
        <v>09.05.2024-091</v>
      </c>
      <c r="B109">
        <v>0.1296</v>
      </c>
      <c r="C109">
        <v>0.002</v>
      </c>
      <c r="D109">
        <v>0.002</v>
      </c>
    </row>
  </sheetData>
  <ignoredErrors>
    <ignoredError numberStoredAsText="1" sqref="A1:AJ1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Y28"/>
  <sheetViews>
    <sheetView workbookViewId="0" rightToLeft="1"/>
  </sheetViews>
  <cols>
    <col min="1" max="1" customWidth="1" width="9.3984375"/>
    <col min="2" max="2" customWidth="1" width="28.09765625"/>
    <col min="3" max="3" customWidth="1" width="13.3984375"/>
    <col min="4" max="4" customWidth="1" width="13.3984375"/>
    <col min="5" max="5" customWidth="1" width="13.8984375"/>
    <col min="6" max="6" customWidth="1" width="13.8984375"/>
    <col min="7" max="7" customWidth="1" width="13.3984375"/>
    <col min="8" max="8" customWidth="1" width="13.3984375"/>
    <col min="9" max="9" customWidth="1" width="13.3984375"/>
    <col min="10" max="10" customWidth="1" width="13.3984375"/>
    <col min="11" max="11" customWidth="1" width="13.69921875"/>
    <col min="12" max="12" customWidth="1" width="11.09765625"/>
    <col min="13" max="13" customWidth="1" width="15.296875"/>
    <col min="14" max="14" customWidth="1" width="13"/>
    <col min="15" max="15" customWidth="1" width="14.5"/>
    <col min="16" max="16" customWidth="1" width="17"/>
    <col min="17" max="17" customWidth="1" width="15.19921875"/>
    <col min="18" max="18" customWidth="1" width="16.09765625"/>
    <col min="21" max="21" customWidth="1" width="7.59765625"/>
    <col min="22" max="22" customWidth="1" width="15.296875"/>
  </cols>
  <sheetData>
    <row r="2">
      <c r="A2" t="str">
        <v>הערות:</v>
      </c>
    </row>
    <row r="4">
      <c r="A4" t="str">
        <v xml:space="preserve">פורמולציה : </v>
      </c>
      <c r="B4" t="str">
        <v xml:space="preserve">  31.10.2022-002</v>
      </c>
    </row>
    <row r="5">
      <c r="O5" t="str">
        <v>בדיקות פורמולציות אינטומסנט</v>
      </c>
    </row>
    <row r="6">
      <c r="A6" t="str">
        <v>תאריך:</v>
      </c>
      <c r="B6" t="str">
        <v>22.11.22</v>
      </c>
      <c r="E6" t="str">
        <v>29.06.2023-017 (הכנה 3.7.23)</v>
      </c>
      <c r="G6" t="str">
        <v>29.06.2023-016 (הכנה 3.7.23)</v>
      </c>
      <c r="I6" t="str">
        <v>29.06.2023-015 (הכנה2.7.23)</v>
      </c>
      <c r="K6" t="str">
        <v>28.06.23-014(1)</v>
      </c>
      <c r="M6" t="str">
        <v>27.06.2023-014</v>
      </c>
      <c r="O6" t="str">
        <v xml:space="preserve"> 16.11.2022-004</v>
      </c>
      <c r="P6" t="str">
        <v xml:space="preserve">    23.11.2022-003.3</v>
      </c>
      <c r="Q6" t="str">
        <v xml:space="preserve">22.11.2022-003.2 </v>
      </c>
      <c r="R6" t="str">
        <v xml:space="preserve"> 22.11.2022-003.1  </v>
      </c>
      <c r="S6" t="str">
        <v>10.11.2022-003</v>
      </c>
      <c r="V6" t="str">
        <v xml:space="preserve">  31.10.2022-002</v>
      </c>
      <c r="W6" t="str">
        <v xml:space="preserve">   27.10.2022-001</v>
      </c>
      <c r="Y6" t="str">
        <v>פורמולציה</v>
      </c>
    </row>
    <row r="7">
      <c r="A7" t="str">
        <v>מאוד מוקצף הוספנו עוד אנטי קצף + עירבוב ידני</v>
      </c>
      <c r="E7" t="str">
        <v>20.08.23</v>
      </c>
      <c r="F7" t="str">
        <v>23.07.23</v>
      </c>
      <c r="G7" t="str">
        <v>20.08.23</v>
      </c>
      <c r="H7" t="str">
        <v>23.07.23</v>
      </c>
      <c r="I7" t="str">
        <v>21.08.23</v>
      </c>
      <c r="J7" t="str">
        <v>23.07.23</v>
      </c>
      <c r="K7" t="str">
        <v>21.08.23</v>
      </c>
      <c r="L7" t="str">
        <v>23.07.23</v>
      </c>
      <c r="M7" t="str">
        <v>21.08.23</v>
      </c>
      <c r="N7" t="str">
        <v>23.07.23</v>
      </c>
      <c r="O7" t="str">
        <v>22.11.22</v>
      </c>
      <c r="P7" t="str">
        <v>24.11.22</v>
      </c>
      <c r="Q7" t="str">
        <v>23.11.22</v>
      </c>
      <c r="R7" t="str">
        <v>23.11.22</v>
      </c>
      <c r="S7" t="str">
        <v>22.11.22</v>
      </c>
      <c r="T7" t="str">
        <v>13.11.22</v>
      </c>
      <c r="U7" t="str">
        <v>10.11.22</v>
      </c>
      <c r="V7" t="str">
        <v>22.11.22</v>
      </c>
      <c r="W7" t="str">
        <v>30.10.22</v>
      </c>
      <c r="X7" t="str">
        <v>27.10.22</v>
      </c>
      <c r="Y7" t="str">
        <v>תאריך</v>
      </c>
    </row>
    <row r="8">
      <c r="E8">
        <v>7.98</v>
      </c>
      <c r="G8">
        <v>7.99</v>
      </c>
      <c r="I8">
        <v>8.02</v>
      </c>
      <c r="K8">
        <v>8.02</v>
      </c>
      <c r="M8">
        <v>7.99</v>
      </c>
      <c r="O8">
        <v>8.45</v>
      </c>
      <c r="P8">
        <v>8.35</v>
      </c>
      <c r="Q8">
        <v>8.6</v>
      </c>
      <c r="R8">
        <v>8.52</v>
      </c>
      <c r="V8">
        <v>8.55</v>
      </c>
      <c r="W8">
        <v>6.17</v>
      </c>
      <c r="Y8" t="str">
        <v>PH</v>
      </c>
    </row>
    <row r="9">
      <c r="A9" t="str">
        <v xml:space="preserve">פורמולציה : </v>
      </c>
      <c r="B9" t="str">
        <v xml:space="preserve">   10.11.2022-003</v>
      </c>
      <c r="W9">
        <v>1.31</v>
      </c>
      <c r="Y9" t="str">
        <v>S.G gr/cm3</v>
      </c>
    </row>
    <row r="10">
      <c r="E10" t="str">
        <v>SPD-4</v>
      </c>
      <c r="I10" t="str">
        <v>SPD-4</v>
      </c>
      <c r="K10" t="str">
        <v>SPD-4</v>
      </c>
      <c r="M10" t="str">
        <v>SPD-4</v>
      </c>
      <c r="Y10" t="str">
        <v>viscosity (26 OC, SPD 4),cps</v>
      </c>
    </row>
    <row r="11">
      <c r="A11" t="str">
        <v>תאריך:</v>
      </c>
      <c r="B11" t="str">
        <v>16.11.22</v>
      </c>
      <c r="E11">
        <v>21974</v>
      </c>
      <c r="F11">
        <v>16793</v>
      </c>
      <c r="G11">
        <v>17588</v>
      </c>
      <c r="H11">
        <v>14063</v>
      </c>
      <c r="I11">
        <v>12400</v>
      </c>
      <c r="J11">
        <v>11166</v>
      </c>
      <c r="K11">
        <v>18657</v>
      </c>
      <c r="L11">
        <v>15261</v>
      </c>
      <c r="M11">
        <v>16246</v>
      </c>
      <c r="N11">
        <v>14579</v>
      </c>
      <c r="O11">
        <v>21875</v>
      </c>
      <c r="P11">
        <v>30227</v>
      </c>
      <c r="Q11">
        <v>34952</v>
      </c>
      <c r="R11">
        <v>32428</v>
      </c>
      <c r="S11">
        <v>25738</v>
      </c>
      <c r="T11">
        <v>33602</v>
      </c>
      <c r="U11">
        <v>36295</v>
      </c>
      <c r="V11">
        <v>25470</v>
      </c>
      <c r="W11">
        <v>57837</v>
      </c>
      <c r="X11">
        <v>56352</v>
      </c>
      <c r="Y11" t="str">
        <v>6 rpm</v>
      </c>
    </row>
    <row r="12">
      <c r="A12" t="str">
        <v>מאוד מוקצף הוספנו 80 גרם אנטי קצף + עירבוב ידני</v>
      </c>
      <c r="E12">
        <v>13334</v>
      </c>
      <c r="F12">
        <v>9978</v>
      </c>
      <c r="G12">
        <v>10872</v>
      </c>
      <c r="H12">
        <v>8205</v>
      </c>
      <c r="I12">
        <v>8022</v>
      </c>
      <c r="J12">
        <v>6978</v>
      </c>
      <c r="K12">
        <v>11574</v>
      </c>
      <c r="L12">
        <v>9273</v>
      </c>
      <c r="M12">
        <v>10137</v>
      </c>
      <c r="N12">
        <v>8635</v>
      </c>
      <c r="O12">
        <v>13784</v>
      </c>
      <c r="P12">
        <v>18745</v>
      </c>
      <c r="Q12">
        <v>22049</v>
      </c>
      <c r="R12">
        <v>20249</v>
      </c>
      <c r="S12">
        <v>15732</v>
      </c>
      <c r="T12">
        <v>21281</v>
      </c>
      <c r="U12">
        <v>21253</v>
      </c>
      <c r="V12">
        <v>14872</v>
      </c>
      <c r="W12">
        <v>37174</v>
      </c>
      <c r="X12">
        <v>35023</v>
      </c>
      <c r="Y12" t="str">
        <v>12 rpm</v>
      </c>
    </row>
    <row r="13">
      <c r="E13">
        <v>7051</v>
      </c>
      <c r="F13">
        <v>5029</v>
      </c>
      <c r="G13">
        <v>5708</v>
      </c>
      <c r="H13">
        <v>4247</v>
      </c>
      <c r="I13">
        <v>4547</v>
      </c>
      <c r="J13">
        <v>3494</v>
      </c>
      <c r="K13">
        <v>6342</v>
      </c>
      <c r="L13">
        <v>4904</v>
      </c>
      <c r="M13">
        <v>5290</v>
      </c>
      <c r="N13">
        <v>4379</v>
      </c>
      <c r="O13">
        <v>7433</v>
      </c>
      <c r="P13">
        <v>9747</v>
      </c>
      <c r="Q13">
        <v>12092</v>
      </c>
      <c r="R13">
        <v>10831</v>
      </c>
      <c r="S13">
        <v>8420</v>
      </c>
      <c r="T13">
        <v>10873</v>
      </c>
      <c r="U13">
        <v>11784</v>
      </c>
      <c r="V13">
        <v>7558</v>
      </c>
      <c r="W13">
        <v>19741</v>
      </c>
      <c r="X13">
        <v>18850</v>
      </c>
      <c r="Y13" t="str">
        <v>30 rpm</v>
      </c>
    </row>
    <row r="14">
      <c r="A14" t="str">
        <v xml:space="preserve">פורמולציה : </v>
      </c>
      <c r="B14" t="str">
        <v xml:space="preserve"> 16.11.2022-004</v>
      </c>
      <c r="E14">
        <v>4561</v>
      </c>
      <c r="F14">
        <v>3195</v>
      </c>
      <c r="G14">
        <v>3632</v>
      </c>
      <c r="H14">
        <v>2605</v>
      </c>
      <c r="I14">
        <v>3108</v>
      </c>
      <c r="J14">
        <v>2387</v>
      </c>
      <c r="K14">
        <v>4119</v>
      </c>
      <c r="L14">
        <v>3131</v>
      </c>
      <c r="M14">
        <v>3567</v>
      </c>
      <c r="N14">
        <v>2905</v>
      </c>
      <c r="O14">
        <v>4733</v>
      </c>
      <c r="P14">
        <v>6194</v>
      </c>
      <c r="Q14">
        <v>7798</v>
      </c>
      <c r="R14">
        <v>6872</v>
      </c>
      <c r="S14">
        <v>5075</v>
      </c>
      <c r="T14">
        <v>6690</v>
      </c>
      <c r="U14">
        <v>7814</v>
      </c>
      <c r="V14">
        <v>4389</v>
      </c>
      <c r="W14">
        <v>10489</v>
      </c>
      <c r="X14">
        <v>8947</v>
      </c>
      <c r="Y14" t="str">
        <v>60 rpm</v>
      </c>
    </row>
    <row r="15"/>
    <row r="16">
      <c r="A16" t="str">
        <v>תאריך:</v>
      </c>
      <c r="B16" t="str">
        <v>22.11.22</v>
      </c>
    </row>
    <row r="17">
      <c r="A17" t="str">
        <v>מאוד מוקצף הכנסנו אגיטן 80</v>
      </c>
    </row>
    <row r="19"/>
    <row r="21"/>
    <row r="22"/>
    <row r="23"/>
    <row r="24"/>
    <row r="25"/>
    <row r="26"/>
    <row r="27"/>
    <row r="28"/>
  </sheetData>
  <mergeCells count="12">
    <mergeCell ref="O5:Y5"/>
    <mergeCell ref="I6:J6"/>
    <mergeCell ref="I10:J10"/>
    <mergeCell ref="G6:H6"/>
    <mergeCell ref="E6:F6"/>
    <mergeCell ref="E10:F10"/>
    <mergeCell ref="M10:N10"/>
    <mergeCell ref="K10:L10"/>
    <mergeCell ref="W6:X6"/>
    <mergeCell ref="S6:U6"/>
    <mergeCell ref="K6:L6"/>
    <mergeCell ref="M6:N6"/>
  </mergeCells>
  <pageMargins left="0.7" right="0.7" top="0.75" bottom="0.75" header="0.3" footer="0.3"/>
  <ignoredErrors>
    <ignoredError numberStoredAsText="1" sqref="A2:Y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פורמולציות</vt:lpstr>
      <vt:lpstr>פורמולציות -סיכום</vt:lpstr>
      <vt:lpstr>בדיקות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2026-03-30T10:37:29Z</dcterms:created>
  <dcterms:modified xsi:type="dcterms:W3CDTF">2026-04-06T06:21:05Z</dcterms:modified>
  <cp:lastModifiedBy>RGB -  lab</cp:lastModifiedBy>
  <dc:creator>RGB -  lab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0x01010094BB3A88E8B6E94197F7268ECAC649E5</vt:lpwstr>
  </property>
</Properties>
</file>